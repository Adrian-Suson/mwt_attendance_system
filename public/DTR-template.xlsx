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508d90c670b4b7d/Documents/Project/Attendance_system/Frontend/public/"/>
    </mc:Choice>
  </mc:AlternateContent>
  <xr:revisionPtr revIDLastSave="114" documentId="11_A2210EE81FBA9EEB86582F3C11C02F0C9AA4E39A" xr6:coauthVersionLast="47" xr6:coauthVersionMax="47" xr10:uidLastSave="{428ACECC-3472-4895-B25E-D1CCDAD7E01C}"/>
  <bookViews>
    <workbookView xWindow="-120" yWindow="-120" windowWidth="29040" windowHeight="15720" xr2:uid="{00000000-000D-0000-FFFF-FFFF00000000}"/>
  </bookViews>
  <sheets>
    <sheet name="SUMMARY_-_GCM" sheetId="1" r:id="rId1"/>
    <sheet name="BUUG" sheetId="2" r:id="rId2"/>
    <sheet name="PAGADIAN" sheetId="3" r:id="rId3"/>
    <sheet name="TANGUB" sheetId="4" r:id="rId4"/>
    <sheet name="OROQUIETA" sheetId="5" r:id="rId5"/>
    <sheet name="IPIL" sheetId="6" r:id="rId6"/>
    <sheet name="ZAMBOANG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wQz1N/4HzseFwOLK854vrgKT5udJDvHt3I8CnijReis="/>
    </ext>
  </extLst>
</workbook>
</file>

<file path=xl/calcChain.xml><?xml version="1.0" encoding="utf-8"?>
<calcChain xmlns="http://schemas.openxmlformats.org/spreadsheetml/2006/main">
  <c r="H70" i="1" l="1"/>
  <c r="E70" i="1"/>
  <c r="J70" i="1"/>
  <c r="K30" i="2"/>
  <c r="K29" i="2"/>
  <c r="K28" i="2"/>
  <c r="K27" i="2"/>
  <c r="K26" i="2"/>
  <c r="AM26" i="3"/>
  <c r="AM27" i="3"/>
  <c r="AM28" i="3"/>
  <c r="AM29" i="3"/>
  <c r="AM30" i="3"/>
  <c r="E68" i="1"/>
  <c r="A8" i="4"/>
  <c r="CY30" i="7"/>
  <c r="L52" i="1" s="1"/>
  <c r="CU30" i="7"/>
  <c r="CQ30" i="7"/>
  <c r="CM30" i="7"/>
  <c r="L42" i="1" s="1"/>
  <c r="CI30" i="7"/>
  <c r="CE30" i="7"/>
  <c r="L46" i="1" s="1"/>
  <c r="CA30" i="7"/>
  <c r="BW30" i="7"/>
  <c r="BS30" i="7"/>
  <c r="BO30" i="7"/>
  <c r="BK30" i="7"/>
  <c r="BG30" i="7"/>
  <c r="BC30" i="7"/>
  <c r="L54" i="1" s="1"/>
  <c r="AY30" i="7"/>
  <c r="AU30" i="7"/>
  <c r="AQ30" i="7"/>
  <c r="L55" i="1" s="1"/>
  <c r="AM30" i="7"/>
  <c r="AI30" i="7"/>
  <c r="AE30" i="7"/>
  <c r="AA30" i="7"/>
  <c r="W30" i="7"/>
  <c r="S30" i="7"/>
  <c r="O30" i="7"/>
  <c r="K30" i="7"/>
  <c r="G30" i="7"/>
  <c r="C30" i="7"/>
  <c r="CY29" i="7"/>
  <c r="CU29" i="7"/>
  <c r="J35" i="1" s="1"/>
  <c r="CQ29" i="7"/>
  <c r="CM29" i="7"/>
  <c r="CI29" i="7"/>
  <c r="CE29" i="7"/>
  <c r="CA29" i="7"/>
  <c r="BW29" i="7"/>
  <c r="BS29" i="7"/>
  <c r="BO29" i="7"/>
  <c r="BK29" i="7"/>
  <c r="BG29" i="7"/>
  <c r="BC29" i="7"/>
  <c r="AY29" i="7"/>
  <c r="J33" i="1" s="1"/>
  <c r="AU29" i="7"/>
  <c r="AQ29" i="7"/>
  <c r="AM29" i="7"/>
  <c r="AI29" i="7"/>
  <c r="AE29" i="7"/>
  <c r="AA29" i="7"/>
  <c r="W29" i="7"/>
  <c r="S29" i="7"/>
  <c r="O29" i="7"/>
  <c r="K29" i="7"/>
  <c r="G29" i="7"/>
  <c r="C29" i="7"/>
  <c r="J9" i="1" s="1"/>
  <c r="CY28" i="7"/>
  <c r="CU28" i="7"/>
  <c r="CQ28" i="7"/>
  <c r="CM28" i="7"/>
  <c r="CI28" i="7"/>
  <c r="CE28" i="7"/>
  <c r="CA28" i="7"/>
  <c r="BW28" i="7"/>
  <c r="BS28" i="7"/>
  <c r="BO28" i="7"/>
  <c r="BK28" i="7"/>
  <c r="BG28" i="7"/>
  <c r="H26" i="1" s="1"/>
  <c r="BC28" i="7"/>
  <c r="AY28" i="7"/>
  <c r="AU28" i="7"/>
  <c r="AQ28" i="7"/>
  <c r="AM28" i="7"/>
  <c r="AI28" i="7"/>
  <c r="AE28" i="7"/>
  <c r="AA28" i="7"/>
  <c r="W28" i="7"/>
  <c r="H16" i="1" s="1"/>
  <c r="S28" i="7"/>
  <c r="O28" i="7"/>
  <c r="K28" i="7"/>
  <c r="H17" i="1" s="1"/>
  <c r="G28" i="7"/>
  <c r="C28" i="7"/>
  <c r="CY27" i="7"/>
  <c r="CU27" i="7"/>
  <c r="CQ27" i="7"/>
  <c r="CM27" i="7"/>
  <c r="CI27" i="7"/>
  <c r="CE27" i="7"/>
  <c r="CA27" i="7"/>
  <c r="BW27" i="7"/>
  <c r="BS27" i="7"/>
  <c r="BO27" i="7"/>
  <c r="N38" i="1" s="1"/>
  <c r="BK27" i="7"/>
  <c r="BG27" i="7"/>
  <c r="BC27" i="7"/>
  <c r="AY27" i="7"/>
  <c r="AU27" i="7"/>
  <c r="AQ27" i="7"/>
  <c r="AM27" i="7"/>
  <c r="AI27" i="7"/>
  <c r="AE27" i="7"/>
  <c r="AA27" i="7"/>
  <c r="W27" i="7"/>
  <c r="S27" i="7"/>
  <c r="N19" i="1" s="1"/>
  <c r="O27" i="7"/>
  <c r="K27" i="7"/>
  <c r="G27" i="7"/>
  <c r="C27" i="7"/>
  <c r="CY26" i="7"/>
  <c r="CU26" i="7"/>
  <c r="CQ26" i="7"/>
  <c r="CM26" i="7"/>
  <c r="CI26" i="7"/>
  <c r="CE26" i="7"/>
  <c r="E46" i="1" s="1"/>
  <c r="CA26" i="7"/>
  <c r="BW26" i="7"/>
  <c r="BS26" i="7"/>
  <c r="BO26" i="7"/>
  <c r="BK26" i="7"/>
  <c r="E57" i="1" s="1"/>
  <c r="BG26" i="7"/>
  <c r="BC26" i="7"/>
  <c r="AY26" i="7"/>
  <c r="AU26" i="7"/>
  <c r="AQ26" i="7"/>
  <c r="AM26" i="7"/>
  <c r="AI26" i="7"/>
  <c r="AE26" i="7"/>
  <c r="AA26" i="7"/>
  <c r="E15" i="1" s="1"/>
  <c r="W26" i="7"/>
  <c r="S26" i="7"/>
  <c r="O26" i="7"/>
  <c r="K26" i="7"/>
  <c r="G26" i="7"/>
  <c r="C26" i="7"/>
  <c r="A8" i="7"/>
  <c r="C4" i="7"/>
  <c r="AA30" i="6" a="1"/>
  <c r="AA30" i="6"/>
  <c r="W30" i="6" a="1"/>
  <c r="W30" i="6" s="1"/>
  <c r="L34" i="1" s="1"/>
  <c r="S30" i="6" a="1"/>
  <c r="S30" i="6"/>
  <c r="L25" i="1" s="1"/>
  <c r="O30" i="6" a="1"/>
  <c r="O30" i="6" s="1"/>
  <c r="L39" i="1" s="1"/>
  <c r="K30" i="6" a="1"/>
  <c r="K30" i="6"/>
  <c r="L29" i="1" s="1"/>
  <c r="G30" i="6" a="1"/>
  <c r="G30" i="6" s="1"/>
  <c r="L28" i="1" s="1"/>
  <c r="C30" i="6" a="1"/>
  <c r="C30" i="6" s="1"/>
  <c r="L13" i="1" s="1"/>
  <c r="AA29" i="6"/>
  <c r="J47" i="1" s="1"/>
  <c r="W29" i="6"/>
  <c r="S29" i="6"/>
  <c r="O29" i="6"/>
  <c r="K29" i="6"/>
  <c r="J29" i="1" s="1"/>
  <c r="G29" i="6"/>
  <c r="J28" i="1" s="1"/>
  <c r="C29" i="6"/>
  <c r="J13" i="1" s="1"/>
  <c r="AA28" i="6"/>
  <c r="W28" i="6"/>
  <c r="H34" i="1" s="1"/>
  <c r="S28" i="6"/>
  <c r="O28" i="6"/>
  <c r="K28" i="6"/>
  <c r="H29" i="1" s="1"/>
  <c r="G28" i="6"/>
  <c r="H28" i="1" s="1"/>
  <c r="C28" i="6"/>
  <c r="H13" i="1" s="1"/>
  <c r="AA27" i="6"/>
  <c r="W27" i="6"/>
  <c r="S27" i="6"/>
  <c r="N25" i="1" s="1"/>
  <c r="O27" i="6"/>
  <c r="N39" i="1" s="1"/>
  <c r="K27" i="6"/>
  <c r="N29" i="1" s="1"/>
  <c r="G27" i="6"/>
  <c r="N28" i="1" s="1"/>
  <c r="C27" i="6"/>
  <c r="N13" i="1" s="1"/>
  <c r="AA26" i="6"/>
  <c r="W26" i="6"/>
  <c r="S26" i="6"/>
  <c r="O26" i="6"/>
  <c r="E39" i="1" s="1"/>
  <c r="K26" i="6"/>
  <c r="E29" i="1" s="1"/>
  <c r="G26" i="6"/>
  <c r="C26" i="6"/>
  <c r="E13" i="1" s="1"/>
  <c r="A8" i="6"/>
  <c r="C4" i="6"/>
  <c r="W30" i="5" a="1"/>
  <c r="W30" i="5"/>
  <c r="S30" i="5" a="1"/>
  <c r="S30" i="5"/>
  <c r="L61" i="1" s="1"/>
  <c r="O30" i="5" a="1"/>
  <c r="O30" i="5"/>
  <c r="L41" i="1" s="1"/>
  <c r="K30" i="5" a="1"/>
  <c r="K30" i="5" s="1"/>
  <c r="L24" i="1" s="1"/>
  <c r="G30" i="5" a="1"/>
  <c r="G30" i="5"/>
  <c r="C30" i="5" a="1"/>
  <c r="C30" i="5" s="1"/>
  <c r="L11" i="1" s="1"/>
  <c r="W29" i="5"/>
  <c r="S29" i="5"/>
  <c r="O29" i="5"/>
  <c r="J41" i="1" s="1"/>
  <c r="K29" i="5"/>
  <c r="J24" i="1" s="1"/>
  <c r="G29" i="5"/>
  <c r="C29" i="5"/>
  <c r="J11" i="1" s="1"/>
  <c r="W28" i="5"/>
  <c r="H40" i="1" s="1"/>
  <c r="S28" i="5"/>
  <c r="O28" i="5"/>
  <c r="K28" i="5"/>
  <c r="H24" i="1" s="1"/>
  <c r="G28" i="5"/>
  <c r="H60" i="1" s="1"/>
  <c r="C28" i="5"/>
  <c r="W27" i="5"/>
  <c r="N40" i="1" s="1"/>
  <c r="S27" i="5"/>
  <c r="N61" i="1" s="1"/>
  <c r="O27" i="5"/>
  <c r="K27" i="5"/>
  <c r="N24" i="1" s="1"/>
  <c r="G27" i="5"/>
  <c r="C27" i="5"/>
  <c r="W26" i="5"/>
  <c r="E40" i="1" s="1"/>
  <c r="S26" i="5"/>
  <c r="O26" i="5"/>
  <c r="K26" i="5"/>
  <c r="E24" i="1" s="1"/>
  <c r="G26" i="5"/>
  <c r="E60" i="1" s="1"/>
  <c r="C26" i="5"/>
  <c r="A8" i="5"/>
  <c r="C4" i="5"/>
  <c r="S30" i="4"/>
  <c r="L30" i="1" s="1"/>
  <c r="O30" i="4"/>
  <c r="K30" i="4"/>
  <c r="G30" i="4"/>
  <c r="C30" i="4"/>
  <c r="L12" i="1" s="1"/>
  <c r="S29" i="4"/>
  <c r="J30" i="1" s="1"/>
  <c r="O29" i="4"/>
  <c r="K29" i="4"/>
  <c r="J23" i="1" s="1"/>
  <c r="G29" i="4"/>
  <c r="C29" i="4"/>
  <c r="S28" i="4"/>
  <c r="O28" i="4"/>
  <c r="K28" i="4"/>
  <c r="H23" i="1" s="1"/>
  <c r="G28" i="4"/>
  <c r="C28" i="4"/>
  <c r="H12" i="1" s="1"/>
  <c r="S27" i="4"/>
  <c r="O27" i="4"/>
  <c r="N56" i="1" s="1"/>
  <c r="K27" i="4"/>
  <c r="N23" i="1" s="1"/>
  <c r="G27" i="4"/>
  <c r="C27" i="4"/>
  <c r="N12" i="1" s="1"/>
  <c r="S26" i="4"/>
  <c r="O26" i="4"/>
  <c r="K26" i="4"/>
  <c r="G26" i="4"/>
  <c r="E27" i="1" s="1"/>
  <c r="C26" i="4"/>
  <c r="E12" i="1" s="1"/>
  <c r="C4" i="4"/>
  <c r="AI30" i="3"/>
  <c r="AE30" i="3"/>
  <c r="L21" i="1" s="1"/>
  <c r="AA30" i="3"/>
  <c r="W30" i="3"/>
  <c r="S30" i="3"/>
  <c r="L62" i="1" s="1"/>
  <c r="O30" i="3"/>
  <c r="K30" i="3"/>
  <c r="L32" i="1" s="1"/>
  <c r="G30" i="3"/>
  <c r="C30" i="3"/>
  <c r="AI29" i="3"/>
  <c r="AE29" i="3"/>
  <c r="AA29" i="3"/>
  <c r="W29" i="3"/>
  <c r="J59" i="1" s="1"/>
  <c r="S29" i="3"/>
  <c r="J62" i="1" s="1"/>
  <c r="O29" i="3"/>
  <c r="J68" i="1" s="1"/>
  <c r="K29" i="3"/>
  <c r="G29" i="3"/>
  <c r="J31" i="1" s="1"/>
  <c r="C29" i="3"/>
  <c r="J10" i="1" s="1"/>
  <c r="AI28" i="3"/>
  <c r="AE28" i="3"/>
  <c r="AA28" i="3"/>
  <c r="W28" i="3"/>
  <c r="H59" i="1" s="1"/>
  <c r="S28" i="3"/>
  <c r="O28" i="3"/>
  <c r="H68" i="1" s="1"/>
  <c r="K28" i="3"/>
  <c r="G28" i="3"/>
  <c r="H31" i="1" s="1"/>
  <c r="C28" i="3"/>
  <c r="AI27" i="3"/>
  <c r="AE27" i="3"/>
  <c r="N21" i="1" s="1"/>
  <c r="AA27" i="3"/>
  <c r="N20" i="1" s="1"/>
  <c r="W27" i="3"/>
  <c r="N59" i="1" s="1"/>
  <c r="S27" i="3"/>
  <c r="O27" i="3"/>
  <c r="K27" i="3"/>
  <c r="N32" i="1" s="1"/>
  <c r="G27" i="3"/>
  <c r="C27" i="3"/>
  <c r="AI26" i="3"/>
  <c r="E69" i="1" s="1"/>
  <c r="AE26" i="3"/>
  <c r="E21" i="1" s="1"/>
  <c r="AA26" i="3"/>
  <c r="W26" i="3"/>
  <c r="S26" i="3"/>
  <c r="O26" i="3"/>
  <c r="E59" i="1" s="1"/>
  <c r="K26" i="3"/>
  <c r="E32" i="1" s="1"/>
  <c r="G26" i="3"/>
  <c r="E31" i="1" s="1"/>
  <c r="C26" i="3"/>
  <c r="A8" i="3"/>
  <c r="C4" i="3"/>
  <c r="G30" i="2"/>
  <c r="C30" i="2"/>
  <c r="G29" i="2"/>
  <c r="C29" i="2"/>
  <c r="J22" i="1" s="1"/>
  <c r="G28" i="2"/>
  <c r="C28" i="2"/>
  <c r="G27" i="2"/>
  <c r="N48" i="1" s="1"/>
  <c r="C27" i="2"/>
  <c r="G26" i="2"/>
  <c r="E48" i="1" s="1"/>
  <c r="C26" i="2"/>
  <c r="C4" i="2"/>
  <c r="J69" i="1"/>
  <c r="H69" i="1"/>
  <c r="N62" i="1"/>
  <c r="H62" i="1"/>
  <c r="E62" i="1"/>
  <c r="J61" i="1"/>
  <c r="H61" i="1"/>
  <c r="E61" i="1"/>
  <c r="N60" i="1"/>
  <c r="L60" i="1"/>
  <c r="J60" i="1"/>
  <c r="L59" i="1"/>
  <c r="N58" i="1"/>
  <c r="L58" i="1"/>
  <c r="J58" i="1"/>
  <c r="H58" i="1"/>
  <c r="E58" i="1"/>
  <c r="N57" i="1"/>
  <c r="L57" i="1"/>
  <c r="J57" i="1"/>
  <c r="H57" i="1"/>
  <c r="L56" i="1"/>
  <c r="J56" i="1"/>
  <c r="H56" i="1"/>
  <c r="E56" i="1"/>
  <c r="N55" i="1"/>
  <c r="J55" i="1"/>
  <c r="H55" i="1"/>
  <c r="E55" i="1"/>
  <c r="N54" i="1"/>
  <c r="J54" i="1"/>
  <c r="H54" i="1"/>
  <c r="E54" i="1"/>
  <c r="N53" i="1"/>
  <c r="L53" i="1"/>
  <c r="J53" i="1"/>
  <c r="H53" i="1"/>
  <c r="E53" i="1"/>
  <c r="N52" i="1"/>
  <c r="J52" i="1"/>
  <c r="H52" i="1"/>
  <c r="E52" i="1"/>
  <c r="N51" i="1"/>
  <c r="L51" i="1"/>
  <c r="J51" i="1"/>
  <c r="H51" i="1"/>
  <c r="E51" i="1"/>
  <c r="N50" i="1"/>
  <c r="L50" i="1"/>
  <c r="J50" i="1"/>
  <c r="H50" i="1"/>
  <c r="E50" i="1"/>
  <c r="N49" i="1"/>
  <c r="L49" i="1"/>
  <c r="J49" i="1"/>
  <c r="H49" i="1"/>
  <c r="E49" i="1"/>
  <c r="L48" i="1"/>
  <c r="J48" i="1"/>
  <c r="H48" i="1"/>
  <c r="N47" i="1"/>
  <c r="L47" i="1"/>
  <c r="H47" i="1"/>
  <c r="E47" i="1"/>
  <c r="N46" i="1"/>
  <c r="J46" i="1"/>
  <c r="H46" i="1"/>
  <c r="N45" i="1"/>
  <c r="L45" i="1"/>
  <c r="J45" i="1"/>
  <c r="H45" i="1"/>
  <c r="E45" i="1"/>
  <c r="N44" i="1"/>
  <c r="L44" i="1"/>
  <c r="J44" i="1"/>
  <c r="H44" i="1"/>
  <c r="E44" i="1"/>
  <c r="N43" i="1"/>
  <c r="L43" i="1"/>
  <c r="J43" i="1"/>
  <c r="H43" i="1"/>
  <c r="E43" i="1"/>
  <c r="N42" i="1"/>
  <c r="J42" i="1"/>
  <c r="H42" i="1"/>
  <c r="E42" i="1"/>
  <c r="N41" i="1"/>
  <c r="H41" i="1"/>
  <c r="E41" i="1"/>
  <c r="L40" i="1"/>
  <c r="J40" i="1"/>
  <c r="J39" i="1"/>
  <c r="H39" i="1"/>
  <c r="L38" i="1"/>
  <c r="J38" i="1"/>
  <c r="H38" i="1"/>
  <c r="E38" i="1"/>
  <c r="N37" i="1"/>
  <c r="L37" i="1"/>
  <c r="J37" i="1"/>
  <c r="H37" i="1"/>
  <c r="E37" i="1"/>
  <c r="N36" i="1"/>
  <c r="L36" i="1"/>
  <c r="J36" i="1"/>
  <c r="H36" i="1"/>
  <c r="E36" i="1"/>
  <c r="N35" i="1"/>
  <c r="L35" i="1"/>
  <c r="H35" i="1"/>
  <c r="E35" i="1"/>
  <c r="N34" i="1"/>
  <c r="J34" i="1"/>
  <c r="E34" i="1"/>
  <c r="N33" i="1"/>
  <c r="L33" i="1"/>
  <c r="H33" i="1"/>
  <c r="E33" i="1"/>
  <c r="J32" i="1"/>
  <c r="H32" i="1"/>
  <c r="N31" i="1"/>
  <c r="L31" i="1"/>
  <c r="N30" i="1"/>
  <c r="H30" i="1"/>
  <c r="E30" i="1"/>
  <c r="E28" i="1"/>
  <c r="N27" i="1"/>
  <c r="L27" i="1"/>
  <c r="J27" i="1"/>
  <c r="H27" i="1"/>
  <c r="N26" i="1"/>
  <c r="L26" i="1"/>
  <c r="J26" i="1"/>
  <c r="E26" i="1"/>
  <c r="J25" i="1"/>
  <c r="H25" i="1"/>
  <c r="E25" i="1"/>
  <c r="L23" i="1"/>
  <c r="E23" i="1"/>
  <c r="N22" i="1"/>
  <c r="L22" i="1"/>
  <c r="H22" i="1"/>
  <c r="E22" i="1"/>
  <c r="J21" i="1"/>
  <c r="H21" i="1"/>
  <c r="L20" i="1"/>
  <c r="J20" i="1"/>
  <c r="H20" i="1"/>
  <c r="E20" i="1"/>
  <c r="L19" i="1"/>
  <c r="J19" i="1"/>
  <c r="H19" i="1"/>
  <c r="E19" i="1"/>
  <c r="N18" i="1"/>
  <c r="L18" i="1"/>
  <c r="J18" i="1"/>
  <c r="H18" i="1"/>
  <c r="E18" i="1"/>
  <c r="N17" i="1"/>
  <c r="L17" i="1"/>
  <c r="J17" i="1"/>
  <c r="E17" i="1"/>
  <c r="N16" i="1"/>
  <c r="L16" i="1"/>
  <c r="J16" i="1"/>
  <c r="E16" i="1"/>
  <c r="N15" i="1"/>
  <c r="L15" i="1"/>
  <c r="J15" i="1"/>
  <c r="H15" i="1"/>
  <c r="N14" i="1"/>
  <c r="L14" i="1"/>
  <c r="J14" i="1"/>
  <c r="H14" i="1"/>
  <c r="E14" i="1"/>
  <c r="J12" i="1"/>
  <c r="N11" i="1"/>
  <c r="H11" i="1"/>
  <c r="E11" i="1"/>
  <c r="N10" i="1"/>
  <c r="L10" i="1"/>
  <c r="H10" i="1"/>
  <c r="E10" i="1"/>
  <c r="N9" i="1"/>
  <c r="L9" i="1"/>
  <c r="H9" i="1"/>
  <c r="E9" i="1"/>
</calcChain>
</file>

<file path=xl/sharedStrings.xml><?xml version="1.0" encoding="utf-8"?>
<sst xmlns="http://schemas.openxmlformats.org/spreadsheetml/2006/main" count="735" uniqueCount="170">
  <si>
    <t>ATTENDANCE SUMMARY REPORT</t>
  </si>
  <si>
    <t>CHAPEL MANAGER  MANAGER</t>
  </si>
  <si>
    <t>CHAPEL MANAGER</t>
  </si>
  <si>
    <t>Carbonell, Divine Grace P.</t>
  </si>
  <si>
    <t>BARRICA JR., EDUARDO</t>
  </si>
  <si>
    <t>DIVINE GRACE P. CARBONELL</t>
  </si>
  <si>
    <t>(To be Accomplished by GCM)</t>
  </si>
  <si>
    <t>REGION</t>
  </si>
  <si>
    <t>MW1</t>
  </si>
  <si>
    <t>GROUP CHAPEL MANAGER</t>
  </si>
  <si>
    <t>CHAPEL</t>
  </si>
  <si>
    <t>BUUG</t>
  </si>
  <si>
    <t>PAMARAN, DENNIS</t>
  </si>
  <si>
    <t>DATE SUBMITTED</t>
  </si>
  <si>
    <t>PERIOD</t>
  </si>
  <si>
    <t>PAGADIAN</t>
  </si>
  <si>
    <t>PERIOD COVERED</t>
  </si>
  <si>
    <t>TANGUB</t>
  </si>
  <si>
    <t>October 1-15, 2026</t>
  </si>
  <si>
    <t>MW1 &amp; 2</t>
  </si>
  <si>
    <t>SEQ #</t>
  </si>
  <si>
    <t>EMPLOYEE NAME</t>
  </si>
  <si>
    <t>DESIGNATION</t>
  </si>
  <si>
    <t>TOTAL WORKING DAYS</t>
  </si>
  <si>
    <t>VL</t>
  </si>
  <si>
    <t>DATE</t>
  </si>
  <si>
    <t>SL</t>
  </si>
  <si>
    <t>RUBEN QUIPTE</t>
  </si>
  <si>
    <t>ML/PL*</t>
  </si>
  <si>
    <t>Shifting Schedule</t>
  </si>
  <si>
    <t>ABSENCES</t>
  </si>
  <si>
    <t>TARDINESS</t>
  </si>
  <si>
    <t>IAN MORANDARTE</t>
  </si>
  <si>
    <t>REMARKS</t>
  </si>
  <si>
    <t>DAY</t>
  </si>
  <si>
    <t>IN</t>
  </si>
  <si>
    <t>OUT</t>
  </si>
  <si>
    <t>SCHEDULE</t>
  </si>
  <si>
    <t># OF DAYS</t>
  </si>
  <si>
    <t># OF ABSENCES</t>
  </si>
  <si>
    <t># OF</t>
  </si>
  <si>
    <t>EDUARDO BARRICA</t>
  </si>
  <si>
    <t>DIVINE GRACE CARBONELL</t>
  </si>
  <si>
    <t>HRS/MIN</t>
  </si>
  <si>
    <t>ERNIE DICO</t>
  </si>
  <si>
    <t>JOEL PANTUJAN</t>
  </si>
  <si>
    <t>FREDE BERONDO</t>
  </si>
  <si>
    <t>DENNIS Q. PAMARAN</t>
  </si>
  <si>
    <t>GCM</t>
  </si>
  <si>
    <t>JULIETO QUINTANA</t>
  </si>
  <si>
    <t>MWT</t>
  </si>
  <si>
    <t>JASON DE ASIS</t>
  </si>
  <si>
    <t>REY-AN BALATERO</t>
  </si>
  <si>
    <t>8AM – 5PM</t>
  </si>
  <si>
    <t>JEFFREY OGOCIERDO</t>
  </si>
  <si>
    <t xml:space="preserve">  MICHAEL ARCH DANIEL</t>
  </si>
  <si>
    <t>DEAN VINCENT TAMPARONG</t>
  </si>
  <si>
    <t>KIESHA CHARISSE BELLOAN</t>
  </si>
  <si>
    <t>DANDY TARIMAN</t>
  </si>
  <si>
    <t>CM</t>
  </si>
  <si>
    <t>PAGADIAN/BUUG</t>
  </si>
  <si>
    <t>GILBERT DELA CRUZ</t>
  </si>
  <si>
    <t>Oroquieta</t>
  </si>
  <si>
    <t>EDUARDO BARICCA</t>
  </si>
  <si>
    <t>MARJORIE BAUTISTA</t>
  </si>
  <si>
    <t>IPIL</t>
  </si>
  <si>
    <t>EMMYLOU MARIANO</t>
  </si>
  <si>
    <t>ZAMBOANGA</t>
  </si>
  <si>
    <t>ADRIAN DR. SUSON</t>
  </si>
  <si>
    <t>GCM Staff</t>
  </si>
  <si>
    <t>WORKED DAYS</t>
  </si>
  <si>
    <t>LENIE MAY AUSEJO</t>
  </si>
  <si>
    <t>FCR</t>
  </si>
  <si>
    <t>weekly shifting</t>
  </si>
  <si>
    <t>SHEILA VILLANO</t>
  </si>
  <si>
    <t>ROWELL MENDIJA</t>
  </si>
  <si>
    <t>ML</t>
  </si>
  <si>
    <t>DANICA MAE LEDESMA</t>
  </si>
  <si>
    <t>Driver</t>
  </si>
  <si>
    <t>Buug</t>
  </si>
  <si>
    <t xml:space="preserve">JOEL PANTUJAN	</t>
  </si>
  <si>
    <t>JUSIL ANTIPUESTO</t>
  </si>
  <si>
    <t>CARY VILLANO</t>
  </si>
  <si>
    <t>Ipil</t>
  </si>
  <si>
    <t>GREGORIO MATIAS</t>
  </si>
  <si>
    <t>Embalmer</t>
  </si>
  <si>
    <t>DANIEL LAYOGUE</t>
  </si>
  <si>
    <t>GLESERIO PAQUIBO</t>
  </si>
  <si>
    <t>MICHAEL ARCH DANIEL</t>
  </si>
  <si>
    <t>ENGELINE MAE TRIBUNALO</t>
  </si>
  <si>
    <t>Attendant</t>
  </si>
  <si>
    <t>ROMEL MANUEL</t>
  </si>
  <si>
    <t>ROMANO CANTIGA</t>
  </si>
  <si>
    <t>JEFFREY DELOS REYES</t>
  </si>
  <si>
    <t>SUNNY CASTOR</t>
  </si>
  <si>
    <t>SANTIE ALFON</t>
  </si>
  <si>
    <t>JOEY DELA CRUZ</t>
  </si>
  <si>
    <t>Astt Embalmer</t>
  </si>
  <si>
    <t>LOLIBOY ALMEDA</t>
  </si>
  <si>
    <t>Attendant/Asst Embalmer</t>
  </si>
  <si>
    <t>JUVEN ANTIPUESTO</t>
  </si>
  <si>
    <t>HANZ CALAPIZ</t>
  </si>
  <si>
    <t>JERRY LLEDO</t>
  </si>
  <si>
    <t>Zamboanga</t>
  </si>
  <si>
    <t>JOVEN RENDON</t>
  </si>
  <si>
    <t>Driver/Asst Embalmer</t>
  </si>
  <si>
    <t>ELBERT JOHN FUTALAN</t>
  </si>
  <si>
    <t>Zambo</t>
  </si>
  <si>
    <t>RAMIL LIMEN</t>
  </si>
  <si>
    <t>RICHIE DELA CRUZ</t>
  </si>
  <si>
    <t>ROLANDO MINDANG</t>
  </si>
  <si>
    <t>Driver/Attendant</t>
  </si>
  <si>
    <t>ROLANDO SAGOSO</t>
  </si>
  <si>
    <t>ELMER MONTEVERDE</t>
  </si>
  <si>
    <t>EARL JOHN NAVARRO</t>
  </si>
  <si>
    <t>OLIVER SUNURAN</t>
  </si>
  <si>
    <t>ELVIN DAGALEA</t>
  </si>
  <si>
    <t>NELVIN DAGALEA</t>
  </si>
  <si>
    <t>ALBRICH ANDRADE</t>
  </si>
  <si>
    <t>JESUS DELOS REYES</t>
  </si>
  <si>
    <t>Driver/Embalmer</t>
  </si>
  <si>
    <t>JAY MATIAS</t>
  </si>
  <si>
    <t>EDDIE SONOGAN</t>
  </si>
  <si>
    <t># OF DAYS WORK</t>
  </si>
  <si>
    <t>HIRE DATE</t>
  </si>
  <si>
    <t>DRIVER</t>
  </si>
  <si>
    <t>RESIGNED EMPLOYEE/S  (Please attach copy of the resignation letter) OR END OF CONTRACT</t>
  </si>
  <si>
    <t>SEQ#</t>
  </si>
  <si>
    <t>NAME</t>
  </si>
  <si>
    <t>LAST DAY OF WORK (DATE)</t>
  </si>
  <si>
    <t>RESONS FOR LEAVING i.e. Studies. Health, Greener Pasture, Other Issues</t>
  </si>
  <si>
    <t>CERTIFIED CORRECT BY:</t>
  </si>
  <si>
    <t>Dennis Q. Pamaran</t>
  </si>
  <si>
    <t>prepared by: Adrian D.R Suson</t>
  </si>
  <si>
    <t xml:space="preserve">  </t>
  </si>
  <si>
    <t>TERRITORY/REGION: MINDANAO WESTERN TERRITORY</t>
  </si>
  <si>
    <t>GUIDELINES:</t>
  </si>
  <si>
    <t>1.  Indicate Company Name, Payroll Period Covered and Chapel/Life Plan Branch/Casket</t>
  </si>
  <si>
    <t>2.  Attach:  Vacation Leave (VL) , Sick Leave (SL) or Maternity Leave (ML). Indicate if entitled with pay/with leave credits or without pay/no leave credits  on the remarks column</t>
  </si>
  <si>
    <t>3.  For overtime work, submit overtime request form prior to the scheduled date/s of OT. Attach approved Overtime Request Form</t>
  </si>
  <si>
    <t>4. Indicate shifting schedule (Time and Dates), if applicable</t>
  </si>
  <si>
    <t>5. For TARDINESS/UNDERTIME:  should be in two (2) decimal places; for example: (a) 5 minutes tardy, should be encoded as ".05"</t>
  </si>
  <si>
    <t>(b) 1 hr &amp; 2 mins tardy, shld be encoded as "1.02"</t>
  </si>
  <si>
    <t>6.  Schedule date of payroll releases and submission date/s of the DTR summary:</t>
  </si>
  <si>
    <t>Paryoll Period Covered</t>
  </si>
  <si>
    <t>Pay Release date:</t>
  </si>
  <si>
    <t>Submission Date of DTR Summary</t>
  </si>
  <si>
    <t>1st half- 1-15</t>
  </si>
  <si>
    <t>20th</t>
  </si>
  <si>
    <t>16th of the current month</t>
  </si>
  <si>
    <t>2nd half- 16-30/31</t>
  </si>
  <si>
    <t>5th</t>
  </si>
  <si>
    <t>1st of the following month</t>
  </si>
  <si>
    <t>7.  The Chapel/Casket Manager will keep the employees' individual Daily Time Records (DTRs) in the branch file for reference.</t>
  </si>
  <si>
    <t>8. Individual Attendance Report (1-15 &amp; 16-30) to be accomplished by Chapel Manager / Casket Factory Manager / Branch Manager</t>
  </si>
  <si>
    <t>9. Attendance Summary Report - to be accomplished by GCM / CFM / RM</t>
  </si>
  <si>
    <t xml:space="preserve">    **GCM / RM/  GFM to collate all attendance/DTR reports from CM/BM/CFM; GCM/RM/GFM to prepare and submit the DTR summary to Asst Mgr, Ella De Leon and</t>
  </si>
  <si>
    <t>Copy Furnished: Marian Marfa, Supervisor</t>
  </si>
  <si>
    <t>NOTE: This file has been automated.</t>
  </si>
  <si>
    <t>Chapel sheets (BUUG, PAGADIAN, OROQUIETA, TANGUB, IPIL, ZAMBOANGA): WORKED HOURS, ABSENCES, VL, SL, and ML auto-calculate from IN/OUT times.</t>
  </si>
  <si>
    <t>SUMMARY: No OF ABSENCES, VL, SL, and ML auto-links from chapel sheets.</t>
  </si>
  <si>
    <t>Only edit the IN/OUT times. Do NOT delete formula cells in rows 26-32 of chapel sheets and columns H, J, L, N, P of this summary.</t>
  </si>
  <si>
    <t>HOLIDAY still needs manual entry.</t>
  </si>
  <si>
    <t>DELA CRUZ, GILBERT</t>
  </si>
  <si>
    <t>OROQUIETA</t>
  </si>
  <si>
    <t>MW2</t>
  </si>
  <si>
    <t>MARIANO, EMMYLOU</t>
  </si>
  <si>
    <t>#</t>
  </si>
  <si>
    <t>JHON TERRYS LADEZA</t>
  </si>
  <si>
    <t>PRINCE KYLE PAQUIBO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</si>
</sst>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mm\-dd\-yy"/>
    <numFmt numFmtId="165" formatCode="mmmm\ d&quot;, &quot;yyyy"/>
    <numFmt numFmtId="166" formatCode="hh\:mm"/>
    <numFmt numFmtId="167" formatCode="h&quot;:&quot;mm&quot; &quot;AM/PM"/>
    <numFmt numFmtId="168" formatCode="mmm\ dd"/>
    <numFmt numFmtId="169" formatCode="[$-3409]0"/>
    <numFmt numFmtId="170" formatCode="[$-3409]mmmm\ d&quot;, &quot;yyyy"/>
    <numFmt numFmtId="171" formatCode="hh\:mm\ AM/PM"/>
    <numFmt numFmtId="172" formatCode="[$-3409]mm/dd/yy"/>
    <numFmt numFmtId="173" formatCode="mm/dd/yy"/>
    <numFmt numFmtId="174" formatCode="hh\:mm\:ss\ AM/PM"/>
  </numFmts>
  <fonts count="34" x14ac:knownFonts="1">
    <font>
      <sz val="11"/>
      <color rgb="FF000000"/>
      <name val="Arial"/>
      <scheme val="minor"/>
    </font>
    <font>
      <b/>
      <sz val="8"/>
      <color rgb="FF000000"/>
      <name val="Calibri"/>
      <family val="2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b/>
      <sz val="9"/>
      <color theme="1"/>
      <name val="Calibri"/>
      <family val="2"/>
    </font>
    <font>
      <sz val="9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theme="1"/>
      <name val="Calibri"/>
      <family val="2"/>
    </font>
    <font>
      <b/>
      <sz val="9"/>
      <color rgb="FF000000"/>
      <name val="Arial"/>
      <family val="2"/>
    </font>
    <font>
      <b/>
      <sz val="10"/>
      <color rgb="FFC00000"/>
      <name val="Arial"/>
      <family val="2"/>
    </font>
    <font>
      <b/>
      <sz val="8"/>
      <color rgb="FF000000"/>
      <name val="Arial"/>
      <family val="2"/>
    </font>
    <font>
      <b/>
      <sz val="10"/>
      <color rgb="FFFF0000"/>
      <name val="Calibri"/>
      <family val="2"/>
    </font>
    <font>
      <b/>
      <sz val="10"/>
      <color rgb="FF000000"/>
      <name val="Calibri"/>
      <family val="2"/>
    </font>
    <font>
      <b/>
      <sz val="10"/>
      <color rgb="FF000000"/>
      <name val="Arial"/>
      <family val="2"/>
    </font>
    <font>
      <sz val="9"/>
      <color theme="1"/>
      <name val="Calibri"/>
      <family val="2"/>
    </font>
    <font>
      <b/>
      <sz val="11"/>
      <color theme="1"/>
      <name val="Cambria"/>
      <family val="1"/>
    </font>
    <font>
      <sz val="10"/>
      <color rgb="FF000000"/>
      <name val="Calibri"/>
      <family val="2"/>
    </font>
    <font>
      <sz val="8"/>
      <color rgb="FF000000"/>
      <name val="Calibri"/>
      <family val="2"/>
    </font>
    <font>
      <b/>
      <sz val="10"/>
      <color rgb="FF993300"/>
      <name val="Arial"/>
      <family val="2"/>
    </font>
    <font>
      <sz val="10"/>
      <color rgb="FFFF000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sz val="9"/>
      <color rgb="FFFF3333"/>
      <name val="Calibri"/>
      <family val="2"/>
    </font>
    <font>
      <sz val="9"/>
      <color rgb="FF000000"/>
      <name val="Arial"/>
      <family val="2"/>
    </font>
    <font>
      <sz val="11"/>
      <color rgb="FF000000"/>
      <name val="Arial"/>
      <family val="2"/>
    </font>
    <font>
      <i/>
      <sz val="9"/>
      <color rgb="FF000000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  <font>
      <sz val="9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339966"/>
        <bgColor rgb="FF339966"/>
      </patternFill>
    </fill>
    <fill>
      <patternFill patternType="solid">
        <fgColor rgb="FF579D1C"/>
        <bgColor rgb="FF579D1C"/>
      </patternFill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99"/>
        <bgColor rgb="FFFFCC99"/>
      </patternFill>
    </fill>
    <fill>
      <patternFill patternType="solid">
        <fgColor rgb="FFFFD966"/>
        <bgColor rgb="FFFFD966"/>
      </patternFill>
    </fill>
    <fill>
      <patternFill patternType="solid">
        <fgColor rgb="FFFF8F8F"/>
        <bgColor rgb="FFFF8F8F"/>
      </patternFill>
    </fill>
    <fill>
      <patternFill patternType="solid">
        <fgColor rgb="FF83CBEB"/>
        <bgColor rgb="FF83CBEB"/>
      </patternFill>
    </fill>
    <fill>
      <patternFill patternType="solid">
        <fgColor rgb="FFC0C0C0"/>
        <bgColor rgb="FFC0C0C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3" fillId="0" borderId="1" xfId="0" applyFont="1" applyBorder="1"/>
    <xf numFmtId="0" fontId="6" fillId="0" borderId="0" xfId="0" applyFont="1"/>
    <xf numFmtId="0" fontId="4" fillId="0" borderId="0" xfId="0" applyFont="1"/>
    <xf numFmtId="0" fontId="3" fillId="0" borderId="2" xfId="0" applyFont="1" applyBorder="1"/>
    <xf numFmtId="0" fontId="2" fillId="0" borderId="3" xfId="0" applyFont="1" applyBorder="1"/>
    <xf numFmtId="0" fontId="4" fillId="0" borderId="2" xfId="0" applyFont="1" applyBorder="1"/>
    <xf numFmtId="164" fontId="5" fillId="0" borderId="5" xfId="0" applyNumberFormat="1" applyFont="1" applyBorder="1"/>
    <xf numFmtId="0" fontId="5" fillId="0" borderId="2" xfId="0" applyFont="1" applyBorder="1"/>
    <xf numFmtId="165" fontId="3" fillId="0" borderId="2" xfId="0" applyNumberFormat="1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 applyAlignment="1">
      <alignment horizontal="center" wrapText="1"/>
    </xf>
    <xf numFmtId="165" fontId="3" fillId="0" borderId="2" xfId="0" applyNumberFormat="1" applyFont="1" applyBorder="1"/>
    <xf numFmtId="0" fontId="5" fillId="3" borderId="5" xfId="0" applyFont="1" applyFill="1" applyBorder="1"/>
    <xf numFmtId="166" fontId="9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11" fillId="7" borderId="5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9" fillId="0" borderId="0" xfId="0" applyFont="1"/>
    <xf numFmtId="0" fontId="2" fillId="9" borderId="11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3" fillId="0" borderId="5" xfId="0" applyFont="1" applyBorder="1"/>
    <xf numFmtId="0" fontId="5" fillId="0" borderId="5" xfId="0" applyFont="1" applyBorder="1"/>
    <xf numFmtId="3" fontId="5" fillId="0" borderId="5" xfId="0" applyNumberFormat="1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0" fontId="17" fillId="0" borderId="5" xfId="0" applyFont="1" applyBorder="1" applyAlignment="1">
      <alignment horizontal="center" vertical="center"/>
    </xf>
    <xf numFmtId="169" fontId="2" fillId="0" borderId="5" xfId="0" applyNumberFormat="1" applyFont="1" applyBorder="1" applyAlignment="1">
      <alignment horizontal="center"/>
    </xf>
    <xf numFmtId="0" fontId="4" fillId="0" borderId="12" xfId="0" applyFont="1" applyBorder="1"/>
    <xf numFmtId="0" fontId="5" fillId="0" borderId="10" xfId="0" applyFont="1" applyBorder="1"/>
    <xf numFmtId="3" fontId="5" fillId="0" borderId="10" xfId="0" applyNumberFormat="1" applyFont="1" applyBorder="1" applyAlignment="1">
      <alignment horizontal="center"/>
    </xf>
    <xf numFmtId="0" fontId="21" fillId="0" borderId="0" xfId="0" applyFont="1"/>
    <xf numFmtId="171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8" fontId="9" fillId="0" borderId="0" xfId="0" applyNumberFormat="1" applyFont="1"/>
    <xf numFmtId="3" fontId="2" fillId="0" borderId="4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5" fillId="0" borderId="3" xfId="0" applyFont="1" applyBorder="1"/>
    <xf numFmtId="0" fontId="5" fillId="0" borderId="6" xfId="0" applyFont="1" applyBorder="1"/>
    <xf numFmtId="173" fontId="5" fillId="0" borderId="5" xfId="0" applyNumberFormat="1" applyFont="1" applyBorder="1"/>
    <xf numFmtId="0" fontId="23" fillId="0" borderId="5" xfId="0" applyFont="1" applyBorder="1"/>
    <xf numFmtId="0" fontId="23" fillId="0" borderId="5" xfId="0" applyFont="1" applyBorder="1" applyAlignment="1">
      <alignment horizontal="center"/>
    </xf>
    <xf numFmtId="3" fontId="23" fillId="0" borderId="5" xfId="0" applyNumberFormat="1" applyFont="1" applyBorder="1" applyAlignment="1">
      <alignment horizontal="right"/>
    </xf>
    <xf numFmtId="3" fontId="23" fillId="0" borderId="5" xfId="0" applyNumberFormat="1" applyFont="1" applyBorder="1" applyAlignment="1">
      <alignment horizontal="center"/>
    </xf>
    <xf numFmtId="14" fontId="23" fillId="0" borderId="5" xfId="0" applyNumberFormat="1" applyFont="1" applyBorder="1"/>
    <xf numFmtId="0" fontId="2" fillId="0" borderId="1" xfId="0" applyFont="1" applyBorder="1"/>
    <xf numFmtId="0" fontId="2" fillId="2" borderId="5" xfId="0" applyFont="1" applyFill="1" applyBorder="1" applyAlignment="1">
      <alignment horizontal="center"/>
    </xf>
    <xf numFmtId="0" fontId="2" fillId="0" borderId="0" xfId="0" applyFont="1"/>
    <xf numFmtId="0" fontId="24" fillId="0" borderId="0" xfId="0" applyFont="1"/>
    <xf numFmtId="0" fontId="5" fillId="0" borderId="9" xfId="0" applyFont="1" applyBorder="1"/>
    <xf numFmtId="0" fontId="25" fillId="0" borderId="0" xfId="0" applyFont="1"/>
    <xf numFmtId="0" fontId="23" fillId="0" borderId="0" xfId="0" applyFont="1"/>
    <xf numFmtId="0" fontId="26" fillId="0" borderId="0" xfId="0" applyFont="1"/>
    <xf numFmtId="0" fontId="28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4" fontId="9" fillId="0" borderId="0" xfId="0" applyNumberFormat="1" applyFont="1"/>
    <xf numFmtId="0" fontId="20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71" fontId="30" fillId="0" borderId="0" xfId="0" applyNumberFormat="1" applyFont="1" applyAlignment="1">
      <alignment horizontal="center"/>
    </xf>
    <xf numFmtId="171" fontId="27" fillId="0" borderId="0" xfId="0" applyNumberFormat="1" applyFont="1" applyAlignment="1">
      <alignment horizontal="center"/>
    </xf>
    <xf numFmtId="171" fontId="4" fillId="0" borderId="0" xfId="0" applyNumberFormat="1" applyFont="1" applyAlignment="1">
      <alignment horizontal="center"/>
    </xf>
    <xf numFmtId="0" fontId="31" fillId="0" borderId="5" xfId="0" applyFont="1" applyBorder="1" applyAlignment="1">
      <alignment horizontal="center"/>
    </xf>
    <xf numFmtId="0" fontId="32" fillId="0" borderId="5" xfId="0" applyFont="1" applyBorder="1"/>
    <xf numFmtId="168" fontId="32" fillId="0" borderId="10" xfId="0" applyNumberFormat="1" applyFont="1" applyBorder="1"/>
    <xf numFmtId="168" fontId="32" fillId="0" borderId="5" xfId="0" applyNumberFormat="1" applyFont="1" applyBorder="1"/>
    <xf numFmtId="168" fontId="32" fillId="0" borderId="5" xfId="0" applyNumberFormat="1" applyFont="1" applyBorder="1" applyAlignment="1">
      <alignment horizontal="center"/>
    </xf>
    <xf numFmtId="169" fontId="32" fillId="0" borderId="5" xfId="0" applyNumberFormat="1" applyFont="1" applyBorder="1"/>
    <xf numFmtId="168" fontId="32" fillId="0" borderId="6" xfId="0" applyNumberFormat="1" applyFont="1" applyBorder="1"/>
    <xf numFmtId="169" fontId="32" fillId="0" borderId="5" xfId="0" applyNumberFormat="1" applyFont="1" applyBorder="1" applyAlignment="1">
      <alignment horizontal="center"/>
    </xf>
    <xf numFmtId="170" fontId="32" fillId="0" borderId="10" xfId="0" applyNumberFormat="1" applyFont="1" applyBorder="1"/>
    <xf numFmtId="170" fontId="32" fillId="0" borderId="5" xfId="0" applyNumberFormat="1" applyFont="1" applyBorder="1"/>
    <xf numFmtId="165" fontId="32" fillId="0" borderId="5" xfId="0" applyNumberFormat="1" applyFont="1" applyBorder="1"/>
    <xf numFmtId="170" fontId="32" fillId="0" borderId="4" xfId="0" applyNumberFormat="1" applyFont="1" applyBorder="1"/>
    <xf numFmtId="172" fontId="32" fillId="0" borderId="5" xfId="0" applyNumberFormat="1" applyFont="1" applyBorder="1"/>
    <xf numFmtId="170" fontId="32" fillId="0" borderId="5" xfId="0" applyNumberFormat="1" applyFont="1" applyBorder="1" applyAlignment="1">
      <alignment horizontal="center"/>
    </xf>
    <xf numFmtId="173" fontId="32" fillId="0" borderId="5" xfId="0" applyNumberFormat="1" applyFont="1" applyBorder="1"/>
    <xf numFmtId="167" fontId="33" fillId="0" borderId="5" xfId="0" applyNumberFormat="1" applyFont="1" applyBorder="1" applyAlignment="1">
      <alignment horizontal="center"/>
    </xf>
    <xf numFmtId="167" fontId="33" fillId="0" borderId="5" xfId="0" applyNumberFormat="1" applyFont="1" applyBorder="1" applyAlignment="1">
      <alignment horizontal="center" wrapText="1"/>
    </xf>
    <xf numFmtId="18" fontId="33" fillId="0" borderId="5" xfId="0" applyNumberFormat="1" applyFont="1" applyBorder="1" applyAlignment="1">
      <alignment horizontal="center"/>
    </xf>
    <xf numFmtId="18" fontId="33" fillId="0" borderId="5" xfId="0" applyNumberFormat="1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20" fontId="33" fillId="0" borderId="5" xfId="0" applyNumberFormat="1" applyFont="1" applyBorder="1" applyAlignment="1">
      <alignment horizontal="center" wrapText="1"/>
    </xf>
    <xf numFmtId="0" fontId="33" fillId="0" borderId="5" xfId="0" applyFont="1" applyBorder="1" applyAlignment="1">
      <alignment horizontal="center"/>
    </xf>
    <xf numFmtId="167" fontId="33" fillId="11" borderId="5" xfId="0" applyNumberFormat="1" applyFont="1" applyFill="1" applyBorder="1" applyAlignment="1">
      <alignment horizontal="center"/>
    </xf>
    <xf numFmtId="0" fontId="33" fillId="12" borderId="5" xfId="0" applyFont="1" applyFill="1" applyBorder="1" applyAlignment="1">
      <alignment horizontal="center"/>
    </xf>
    <xf numFmtId="18" fontId="33" fillId="12" borderId="5" xfId="0" applyNumberFormat="1" applyFont="1" applyFill="1" applyBorder="1" applyAlignment="1">
      <alignment horizontal="center"/>
    </xf>
    <xf numFmtId="20" fontId="33" fillId="12" borderId="5" xfId="0" applyNumberFormat="1" applyFont="1" applyFill="1" applyBorder="1" applyAlignment="1">
      <alignment horizontal="center"/>
    </xf>
    <xf numFmtId="0" fontId="33" fillId="0" borderId="5" xfId="0" applyFont="1" applyBorder="1"/>
    <xf numFmtId="18" fontId="33" fillId="0" borderId="0" xfId="0" applyNumberFormat="1" applyFont="1" applyAlignment="1">
      <alignment horizontal="center"/>
    </xf>
    <xf numFmtId="20" fontId="33" fillId="0" borderId="5" xfId="0" applyNumberFormat="1" applyFont="1" applyBorder="1" applyAlignment="1">
      <alignment horizontal="center"/>
    </xf>
    <xf numFmtId="166" fontId="33" fillId="0" borderId="5" xfId="0" applyNumberFormat="1" applyFont="1" applyBorder="1" applyAlignment="1">
      <alignment horizontal="center"/>
    </xf>
    <xf numFmtId="171" fontId="33" fillId="0" borderId="5" xfId="0" applyNumberFormat="1" applyFont="1" applyBorder="1" applyAlignment="1">
      <alignment horizontal="center"/>
    </xf>
    <xf numFmtId="171" fontId="33" fillId="0" borderId="5" xfId="0" applyNumberFormat="1" applyFont="1" applyBorder="1" applyAlignment="1">
      <alignment horizontal="center" wrapText="1"/>
    </xf>
    <xf numFmtId="19" fontId="33" fillId="0" borderId="5" xfId="0" applyNumberFormat="1" applyFont="1" applyBorder="1" applyAlignment="1">
      <alignment horizontal="center" wrapText="1"/>
    </xf>
    <xf numFmtId="20" fontId="33" fillId="0" borderId="10" xfId="0" applyNumberFormat="1" applyFont="1" applyBorder="1" applyAlignment="1">
      <alignment horizontal="center" wrapText="1"/>
    </xf>
    <xf numFmtId="18" fontId="33" fillId="0" borderId="10" xfId="0" applyNumberFormat="1" applyFont="1" applyBorder="1" applyAlignment="1">
      <alignment horizontal="center" wrapText="1"/>
    </xf>
    <xf numFmtId="19" fontId="33" fillId="0" borderId="10" xfId="0" applyNumberFormat="1" applyFont="1" applyBorder="1" applyAlignment="1">
      <alignment horizontal="center" wrapText="1"/>
    </xf>
    <xf numFmtId="0" fontId="33" fillId="0" borderId="10" xfId="0" applyFont="1" applyBorder="1" applyAlignment="1">
      <alignment horizontal="center" wrapText="1"/>
    </xf>
    <xf numFmtId="0" fontId="33" fillId="0" borderId="3" xfId="0" applyFont="1" applyBorder="1" applyAlignment="1">
      <alignment horizontal="center"/>
    </xf>
    <xf numFmtId="0" fontId="33" fillId="0" borderId="19" xfId="0" applyFont="1" applyBorder="1"/>
    <xf numFmtId="0" fontId="33" fillId="12" borderId="2" xfId="0" applyFont="1" applyFill="1" applyBorder="1" applyAlignment="1">
      <alignment wrapText="1"/>
    </xf>
    <xf numFmtId="167" fontId="33" fillId="11" borderId="3" xfId="0" applyNumberFormat="1" applyFont="1" applyFill="1" applyBorder="1" applyAlignment="1">
      <alignment horizontal="center"/>
    </xf>
    <xf numFmtId="0" fontId="33" fillId="12" borderId="19" xfId="0" applyFont="1" applyFill="1" applyBorder="1" applyAlignment="1">
      <alignment wrapText="1"/>
    </xf>
    <xf numFmtId="167" fontId="33" fillId="11" borderId="4" xfId="0" applyNumberFormat="1" applyFont="1" applyFill="1" applyBorder="1" applyAlignment="1">
      <alignment horizontal="center"/>
    </xf>
    <xf numFmtId="18" fontId="33" fillId="12" borderId="5" xfId="0" applyNumberFormat="1" applyFont="1" applyFill="1" applyBorder="1" applyAlignment="1">
      <alignment horizontal="center" wrapText="1"/>
    </xf>
    <xf numFmtId="18" fontId="33" fillId="12" borderId="10" xfId="0" applyNumberFormat="1" applyFont="1" applyFill="1" applyBorder="1" applyAlignment="1">
      <alignment horizontal="center" wrapText="1"/>
    </xf>
    <xf numFmtId="0" fontId="33" fillId="11" borderId="5" xfId="0" applyFont="1" applyFill="1" applyBorder="1" applyAlignment="1">
      <alignment horizontal="center"/>
    </xf>
    <xf numFmtId="0" fontId="22" fillId="10" borderId="13" xfId="0" applyFont="1" applyFill="1" applyBorder="1" applyAlignment="1">
      <alignment horizont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0" fillId="0" borderId="0" xfId="0"/>
    <xf numFmtId="0" fontId="7" fillId="0" borderId="17" xfId="0" applyFont="1" applyBorder="1"/>
    <xf numFmtId="0" fontId="7" fillId="0" borderId="12" xfId="0" applyFont="1" applyBorder="1"/>
    <xf numFmtId="0" fontId="7" fillId="0" borderId="1" xfId="0" applyFont="1" applyBorder="1"/>
    <xf numFmtId="0" fontId="7" fillId="0" borderId="18" xfId="0" applyFont="1" applyBorder="1"/>
    <xf numFmtId="0" fontId="5" fillId="0" borderId="3" xfId="0" applyFont="1" applyBorder="1"/>
    <xf numFmtId="0" fontId="7" fillId="0" borderId="2" xfId="0" applyFont="1" applyBorder="1"/>
    <xf numFmtId="0" fontId="7" fillId="0" borderId="4" xfId="0" applyFont="1" applyBorder="1"/>
    <xf numFmtId="0" fontId="2" fillId="0" borderId="1" xfId="0" applyFont="1" applyBorder="1"/>
    <xf numFmtId="0" fontId="2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2" fillId="10" borderId="6" xfId="0" applyFont="1" applyFill="1" applyBorder="1" applyAlignment="1">
      <alignment horizontal="center" wrapText="1"/>
    </xf>
    <xf numFmtId="0" fontId="7" fillId="0" borderId="9" xfId="0" applyFont="1" applyBorder="1"/>
    <xf numFmtId="0" fontId="7" fillId="0" borderId="10" xfId="0" applyFont="1" applyBorder="1"/>
    <xf numFmtId="0" fontId="2" fillId="4" borderId="6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 wrapText="1"/>
    </xf>
    <xf numFmtId="0" fontId="5" fillId="0" borderId="0" xfId="0" applyFont="1"/>
    <xf numFmtId="0" fontId="25" fillId="0" borderId="3" xfId="0" applyFont="1" applyBorder="1"/>
    <xf numFmtId="0" fontId="25" fillId="0" borderId="3" xfId="0" applyFont="1" applyBorder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/>
    <xf numFmtId="0" fontId="2" fillId="0" borderId="3" xfId="0" applyFont="1" applyBorder="1"/>
    <xf numFmtId="0" fontId="2" fillId="0" borderId="3" xfId="0" applyFont="1" applyBorder="1" applyAlignment="1">
      <alignment wrapText="1"/>
    </xf>
    <xf numFmtId="0" fontId="2" fillId="2" borderId="6" xfId="0" applyFont="1" applyFill="1" applyBorder="1" applyAlignment="1">
      <alignment horizontal="center" wrapText="1"/>
    </xf>
    <xf numFmtId="0" fontId="2" fillId="6" borderId="6" xfId="0" applyFont="1" applyFill="1" applyBorder="1" applyAlignment="1">
      <alignment horizontal="center" wrapText="1"/>
    </xf>
    <xf numFmtId="0" fontId="2" fillId="8" borderId="6" xfId="0" applyFont="1" applyFill="1" applyBorder="1" applyAlignment="1">
      <alignment horizontal="center" wrapText="1"/>
    </xf>
    <xf numFmtId="0" fontId="2" fillId="6" borderId="3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 wrapText="1"/>
    </xf>
    <xf numFmtId="0" fontId="2" fillId="9" borderId="6" xfId="0" applyFont="1" applyFill="1" applyBorder="1" applyAlignment="1">
      <alignment horizontal="center" wrapText="1"/>
    </xf>
    <xf numFmtId="0" fontId="5" fillId="3" borderId="6" xfId="0" applyFont="1" applyFill="1" applyBorder="1" applyAlignment="1">
      <alignment horizontal="center"/>
    </xf>
    <xf numFmtId="0" fontId="5" fillId="3" borderId="6" xfId="0" applyFont="1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7" fillId="0" borderId="8" xfId="0" applyFont="1" applyBorder="1"/>
    <xf numFmtId="0" fontId="19" fillId="0" borderId="3" xfId="0" applyFont="1" applyBorder="1"/>
    <xf numFmtId="3" fontId="18" fillId="0" borderId="3" xfId="0" applyNumberFormat="1" applyFont="1" applyBorder="1" applyAlignment="1">
      <alignment horizontal="center"/>
    </xf>
    <xf numFmtId="0" fontId="8" fillId="0" borderId="3" xfId="0" applyFont="1" applyBorder="1"/>
    <xf numFmtId="3" fontId="18" fillId="0" borderId="2" xfId="0" applyNumberFormat="1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0" fontId="28" fillId="0" borderId="3" xfId="0" applyFont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2"/>
  <sheetViews>
    <sheetView tabSelected="1" topLeftCell="A48" zoomScaleNormal="100" workbookViewId="0">
      <selection activeCell="G78" sqref="G78"/>
    </sheetView>
  </sheetViews>
  <sheetFormatPr defaultColWidth="12.625" defaultRowHeight="15" customHeight="1" x14ac:dyDescent="0.2"/>
  <cols>
    <col min="1" max="1" width="6.125" customWidth="1"/>
    <col min="2" max="2" width="27.125" customWidth="1"/>
    <col min="3" max="3" width="29.375" customWidth="1"/>
    <col min="4" max="4" width="15.5" customWidth="1"/>
    <col min="5" max="5" width="6.25" customWidth="1"/>
    <col min="6" max="7" width="18.875" customWidth="1"/>
    <col min="8" max="8" width="4.875" customWidth="1"/>
    <col min="9" max="9" width="16.25" customWidth="1"/>
    <col min="10" max="10" width="4.375" customWidth="1"/>
    <col min="11" max="11" width="10.875" customWidth="1"/>
    <col min="12" max="12" width="4.75" customWidth="1"/>
    <col min="13" max="13" width="26" customWidth="1"/>
    <col min="14" max="14" width="6.125" customWidth="1"/>
    <col min="15" max="15" width="23.75" customWidth="1"/>
    <col min="16" max="16" width="17.625" customWidth="1"/>
    <col min="17" max="17" width="20.5" customWidth="1"/>
    <col min="18" max="19" width="11.25" customWidth="1"/>
    <col min="20" max="37" width="13.875" customWidth="1"/>
  </cols>
  <sheetData>
    <row r="1" spans="1:37" ht="14.25" customHeight="1" x14ac:dyDescent="0.2">
      <c r="A1" s="148" t="s">
        <v>0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</row>
    <row r="2" spans="1:37" ht="14.25" customHeight="1" x14ac:dyDescent="0.2">
      <c r="A2" s="149" t="s">
        <v>6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ht="14.25" customHeight="1" x14ac:dyDescent="0.2">
      <c r="A3" s="150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2.75" customHeight="1" x14ac:dyDescent="0.2">
      <c r="A4" s="151" t="s">
        <v>9</v>
      </c>
      <c r="B4" s="131"/>
      <c r="C4" s="132"/>
      <c r="D4" s="152" t="s">
        <v>12</v>
      </c>
      <c r="E4" s="131"/>
      <c r="F4" s="131"/>
      <c r="G4" s="131"/>
      <c r="H4" s="131"/>
      <c r="I4" s="131"/>
      <c r="J4" s="131"/>
      <c r="K4" s="131"/>
      <c r="L4" s="131"/>
      <c r="M4" s="132"/>
      <c r="N4" s="152" t="s">
        <v>13</v>
      </c>
      <c r="O4" s="131"/>
      <c r="P4" s="132"/>
      <c r="Q4" s="1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2.75" customHeight="1" x14ac:dyDescent="0.2">
      <c r="A5" s="151" t="s">
        <v>16</v>
      </c>
      <c r="B5" s="131"/>
      <c r="C5" s="132"/>
      <c r="D5" s="9" t="s">
        <v>18</v>
      </c>
      <c r="E5" s="12"/>
      <c r="F5" s="12"/>
      <c r="G5" s="12"/>
      <c r="H5" s="12"/>
      <c r="I5" s="12"/>
      <c r="J5" s="12"/>
      <c r="K5" s="12"/>
      <c r="L5" s="12"/>
      <c r="M5" s="14"/>
      <c r="N5" s="152" t="s">
        <v>7</v>
      </c>
      <c r="O5" s="131"/>
      <c r="P5" s="132"/>
      <c r="Q5" s="15" t="s">
        <v>19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2.75" customHeight="1" x14ac:dyDescent="0.2">
      <c r="A6" s="153" t="s">
        <v>20</v>
      </c>
      <c r="B6" s="153" t="s">
        <v>21</v>
      </c>
      <c r="C6" s="153" t="s">
        <v>22</v>
      </c>
      <c r="D6" s="153" t="s">
        <v>10</v>
      </c>
      <c r="E6" s="153" t="s">
        <v>23</v>
      </c>
      <c r="F6" s="17"/>
      <c r="G6" s="136" t="s">
        <v>24</v>
      </c>
      <c r="H6" s="132"/>
      <c r="I6" s="137" t="s">
        <v>26</v>
      </c>
      <c r="J6" s="132"/>
      <c r="K6" s="156" t="s">
        <v>28</v>
      </c>
      <c r="L6" s="132"/>
      <c r="M6" s="157" t="s">
        <v>30</v>
      </c>
      <c r="N6" s="132"/>
      <c r="O6" s="158" t="s">
        <v>31</v>
      </c>
      <c r="P6" s="132"/>
      <c r="Q6" s="159" t="s">
        <v>33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2.75" customHeight="1" x14ac:dyDescent="0.2">
      <c r="A7" s="139"/>
      <c r="B7" s="139"/>
      <c r="C7" s="139"/>
      <c r="D7" s="139"/>
      <c r="E7" s="139"/>
      <c r="F7" s="161" t="s">
        <v>37</v>
      </c>
      <c r="G7" s="141" t="s">
        <v>25</v>
      </c>
      <c r="H7" s="141" t="s">
        <v>38</v>
      </c>
      <c r="I7" s="142" t="s">
        <v>25</v>
      </c>
      <c r="J7" s="142" t="s">
        <v>38</v>
      </c>
      <c r="K7" s="154" t="s">
        <v>25</v>
      </c>
      <c r="L7" s="154" t="s">
        <v>38</v>
      </c>
      <c r="M7" s="155" t="s">
        <v>25</v>
      </c>
      <c r="N7" s="155" t="s">
        <v>39</v>
      </c>
      <c r="O7" s="160" t="s">
        <v>25</v>
      </c>
      <c r="P7" s="23" t="s">
        <v>40</v>
      </c>
      <c r="Q7" s="139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A8" s="140"/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25" t="s">
        <v>43</v>
      </c>
      <c r="Q8" s="14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A9" s="26">
        <v>1</v>
      </c>
      <c r="B9" s="27" t="s">
        <v>47</v>
      </c>
      <c r="C9" s="28" t="s">
        <v>48</v>
      </c>
      <c r="D9" s="28" t="s">
        <v>50</v>
      </c>
      <c r="E9" s="29">
        <f>ZAMBOANGA!C26</f>
        <v>0</v>
      </c>
      <c r="F9" s="26" t="s">
        <v>53</v>
      </c>
      <c r="G9" s="76"/>
      <c r="H9" s="30">
        <f>ZAMBOANGA!C28</f>
        <v>0</v>
      </c>
      <c r="I9" s="76"/>
      <c r="J9" s="30">
        <f>ZAMBOANGA!C29</f>
        <v>0</v>
      </c>
      <c r="K9" s="76"/>
      <c r="L9" s="30">
        <f>ZAMBOANGA!C30</f>
        <v>0</v>
      </c>
      <c r="M9" s="76"/>
      <c r="N9" s="30">
        <f>ZAMBOANGA!C27</f>
        <v>0</v>
      </c>
      <c r="O9" s="76"/>
      <c r="P9" s="76"/>
      <c r="Q9" s="7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A10" s="33">
        <v>2</v>
      </c>
      <c r="B10" s="27" t="s">
        <v>42</v>
      </c>
      <c r="C10" s="28" t="s">
        <v>59</v>
      </c>
      <c r="D10" s="28" t="s">
        <v>60</v>
      </c>
      <c r="E10" s="29">
        <f>PAGADIAN!C26</f>
        <v>0</v>
      </c>
      <c r="F10" s="26" t="s">
        <v>53</v>
      </c>
      <c r="G10" s="77"/>
      <c r="H10" s="35">
        <f>PAGADIAN!C28</f>
        <v>0</v>
      </c>
      <c r="I10" s="83"/>
      <c r="J10" s="35">
        <f>PAGADIAN!C29</f>
        <v>0</v>
      </c>
      <c r="K10" s="77"/>
      <c r="L10" s="35">
        <f>PAGADIAN!C30</f>
        <v>0</v>
      </c>
      <c r="M10" s="77"/>
      <c r="N10" s="35">
        <f>PAGADIAN!C27</f>
        <v>0</v>
      </c>
      <c r="O10" s="78"/>
      <c r="P10" s="76"/>
      <c r="Q10" s="7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A11" s="26">
        <v>3</v>
      </c>
      <c r="B11" s="27" t="s">
        <v>61</v>
      </c>
      <c r="C11" s="28" t="s">
        <v>59</v>
      </c>
      <c r="D11" s="28" t="s">
        <v>62</v>
      </c>
      <c r="E11" s="29">
        <f>OROQUIETA!C26</f>
        <v>0</v>
      </c>
      <c r="F11" s="26" t="s">
        <v>53</v>
      </c>
      <c r="G11" s="78"/>
      <c r="H11" s="37">
        <f>OROQUIETA!C28</f>
        <v>0</v>
      </c>
      <c r="I11" s="84"/>
      <c r="J11" s="37">
        <f>OROQUIETA!C29</f>
        <v>0</v>
      </c>
      <c r="K11" s="78"/>
      <c r="L11" s="37">
        <f>OROQUIETA!C30</f>
        <v>0</v>
      </c>
      <c r="M11" s="78"/>
      <c r="N11" s="37">
        <f>OROQUIETA!C27</f>
        <v>0</v>
      </c>
      <c r="O11" s="78"/>
      <c r="P11" s="76"/>
      <c r="Q11" s="7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A12" s="26">
        <v>4</v>
      </c>
      <c r="B12" s="27" t="s">
        <v>63</v>
      </c>
      <c r="C12" s="28" t="s">
        <v>59</v>
      </c>
      <c r="D12" s="28" t="s">
        <v>17</v>
      </c>
      <c r="E12" s="29">
        <f>TANGUB!C26</f>
        <v>0</v>
      </c>
      <c r="F12" s="26" t="s">
        <v>53</v>
      </c>
      <c r="G12" s="78"/>
      <c r="H12" s="37">
        <f>TANGUB!C28</f>
        <v>0</v>
      </c>
      <c r="I12" s="84"/>
      <c r="J12" s="37">
        <f>TANGUB!C29</f>
        <v>0</v>
      </c>
      <c r="K12" s="80"/>
      <c r="L12" s="37">
        <f>TANGUB!C30</f>
        <v>0</v>
      </c>
      <c r="M12" s="78"/>
      <c r="N12" s="37">
        <f>TANGUB!C27</f>
        <v>0</v>
      </c>
      <c r="O12" s="78"/>
      <c r="P12" s="76"/>
      <c r="Q12" s="7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A13" s="26">
        <v>5</v>
      </c>
      <c r="B13" s="27" t="s">
        <v>64</v>
      </c>
      <c r="C13" s="28" t="s">
        <v>59</v>
      </c>
      <c r="D13" s="28" t="s">
        <v>65</v>
      </c>
      <c r="E13" s="29">
        <f>IPIL!C26</f>
        <v>0</v>
      </c>
      <c r="F13" s="26" t="s">
        <v>53</v>
      </c>
      <c r="G13" s="79"/>
      <c r="H13" s="37">
        <f>IPIL!C28</f>
        <v>0</v>
      </c>
      <c r="I13" s="84"/>
      <c r="J13" s="37">
        <f>IPIL!C29</f>
        <v>0</v>
      </c>
      <c r="K13" s="78"/>
      <c r="L13" s="37">
        <f>IPIL!C30</f>
        <v>0</v>
      </c>
      <c r="M13" s="78"/>
      <c r="N13" s="37">
        <f>IPIL!C27</f>
        <v>0</v>
      </c>
      <c r="O13" s="78"/>
      <c r="P13" s="76"/>
      <c r="Q13" s="78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5" customHeight="1" x14ac:dyDescent="0.2">
      <c r="A14" s="26">
        <v>6</v>
      </c>
      <c r="B14" s="27" t="s">
        <v>66</v>
      </c>
      <c r="C14" s="28" t="s">
        <v>59</v>
      </c>
      <c r="D14" s="28" t="s">
        <v>67</v>
      </c>
      <c r="E14" s="29">
        <f>ZAMBOANGA!C26</f>
        <v>0</v>
      </c>
      <c r="F14" s="26" t="s">
        <v>53</v>
      </c>
      <c r="G14" s="78"/>
      <c r="H14" s="37">
        <f>ZAMBOANGA!G28</f>
        <v>0</v>
      </c>
      <c r="I14" s="84"/>
      <c r="J14" s="37">
        <f>ZAMBOANGA!G29</f>
        <v>0</v>
      </c>
      <c r="K14" s="78"/>
      <c r="L14" s="37">
        <f>ZAMBOANGA!G30</f>
        <v>0</v>
      </c>
      <c r="M14" s="78"/>
      <c r="N14" s="37">
        <f>ZAMBOANGA!G27</f>
        <v>0</v>
      </c>
      <c r="O14" s="78"/>
      <c r="P14" s="78"/>
      <c r="Q14" s="78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5" customHeight="1" x14ac:dyDescent="0.2">
      <c r="A15" s="33">
        <v>7</v>
      </c>
      <c r="B15" s="28" t="s">
        <v>68</v>
      </c>
      <c r="C15" s="28" t="s">
        <v>69</v>
      </c>
      <c r="D15" s="28" t="s">
        <v>67</v>
      </c>
      <c r="E15" s="29">
        <f>ZAMBOANGA!AA26</f>
        <v>0</v>
      </c>
      <c r="F15" s="26" t="s">
        <v>53</v>
      </c>
      <c r="G15" s="78"/>
      <c r="H15" s="37">
        <f>ZAMBOANGA!AA28</f>
        <v>0</v>
      </c>
      <c r="I15" s="84"/>
      <c r="J15" s="37">
        <f>ZAMBOANGA!AA29</f>
        <v>0</v>
      </c>
      <c r="K15" s="78"/>
      <c r="L15" s="37">
        <f>ZAMBOANGA!AA30</f>
        <v>0</v>
      </c>
      <c r="M15" s="78"/>
      <c r="N15" s="37">
        <f>ZAMBOANGA!AA27</f>
        <v>0</v>
      </c>
      <c r="O15" s="78"/>
      <c r="P15" s="78"/>
      <c r="Q15" s="78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3.5" customHeight="1" x14ac:dyDescent="0.2">
      <c r="A16" s="26">
        <v>8</v>
      </c>
      <c r="B16" s="28" t="s">
        <v>71</v>
      </c>
      <c r="C16" s="28" t="s">
        <v>72</v>
      </c>
      <c r="D16" s="28" t="s">
        <v>67</v>
      </c>
      <c r="E16" s="29">
        <f>ZAMBOANGA!W26</f>
        <v>0</v>
      </c>
      <c r="F16" s="26" t="s">
        <v>73</v>
      </c>
      <c r="G16" s="78"/>
      <c r="H16" s="37">
        <f>ZAMBOANGA!W28</f>
        <v>0</v>
      </c>
      <c r="I16" s="84"/>
      <c r="J16" s="37">
        <f>ZAMBOANGA!W29</f>
        <v>0</v>
      </c>
      <c r="K16" s="78"/>
      <c r="L16" s="37">
        <f>ZAMBOANGA!W30</f>
        <v>0</v>
      </c>
      <c r="M16" s="78"/>
      <c r="N16" s="37">
        <f>ZAMBOANGA!W27</f>
        <v>0</v>
      </c>
      <c r="O16" s="78"/>
      <c r="P16" s="76"/>
      <c r="Q16" s="78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ht="15" customHeight="1" x14ac:dyDescent="0.2">
      <c r="A17" s="26">
        <v>9</v>
      </c>
      <c r="B17" s="28" t="s">
        <v>74</v>
      </c>
      <c r="C17" s="28" t="s">
        <v>72</v>
      </c>
      <c r="D17" s="28" t="s">
        <v>67</v>
      </c>
      <c r="E17" s="29">
        <f>ZAMBOANGA!K26</f>
        <v>0</v>
      </c>
      <c r="F17" s="26" t="s">
        <v>73</v>
      </c>
      <c r="G17" s="78"/>
      <c r="H17" s="37">
        <f>ZAMBOANGA!K28</f>
        <v>0</v>
      </c>
      <c r="I17" s="85"/>
      <c r="J17" s="37">
        <f>ZAMBOANGA!K29</f>
        <v>0</v>
      </c>
      <c r="K17" s="78"/>
      <c r="L17" s="37">
        <f>ZAMBOANGA!K30</f>
        <v>0</v>
      </c>
      <c r="M17" s="78"/>
      <c r="N17" s="37">
        <f>ZAMBOANGA!K27</f>
        <v>0</v>
      </c>
      <c r="O17" s="78"/>
      <c r="P17" s="76"/>
      <c r="Q17" s="7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ht="14.25" customHeight="1" x14ac:dyDescent="0.2">
      <c r="A18" s="26">
        <v>10</v>
      </c>
      <c r="B18" s="28" t="s">
        <v>75</v>
      </c>
      <c r="C18" s="28" t="s">
        <v>72</v>
      </c>
      <c r="D18" s="28" t="s">
        <v>67</v>
      </c>
      <c r="E18" s="29">
        <f>ZAMBOANGA!O26</f>
        <v>0</v>
      </c>
      <c r="F18" s="26" t="s">
        <v>73</v>
      </c>
      <c r="G18" s="78"/>
      <c r="H18" s="37">
        <f>ZAMBOANGA!O28</f>
        <v>0</v>
      </c>
      <c r="I18" s="84"/>
      <c r="J18" s="37">
        <f>ZAMBOANGA!O29</f>
        <v>0</v>
      </c>
      <c r="K18" s="80"/>
      <c r="L18" s="37">
        <f>ZAMBOANGA!O30</f>
        <v>0</v>
      </c>
      <c r="M18" s="78"/>
      <c r="N18" s="37">
        <f>ZAMBOANGA!O27</f>
        <v>0</v>
      </c>
      <c r="O18" s="78"/>
      <c r="P18" s="78"/>
      <c r="Q18" s="78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ht="14.25" customHeight="1" x14ac:dyDescent="0.2">
      <c r="A19" s="26">
        <v>11</v>
      </c>
      <c r="B19" s="28" t="s">
        <v>77</v>
      </c>
      <c r="C19" s="28" t="s">
        <v>72</v>
      </c>
      <c r="D19" s="28" t="s">
        <v>67</v>
      </c>
      <c r="E19" s="29">
        <f>ZAMBOANGA!S26</f>
        <v>0</v>
      </c>
      <c r="F19" s="26" t="s">
        <v>73</v>
      </c>
      <c r="G19" s="78"/>
      <c r="H19" s="37">
        <f>ZAMBOANGA!S28</f>
        <v>0</v>
      </c>
      <c r="I19" s="84"/>
      <c r="J19" s="37">
        <f>ZAMBOANGA!S29</f>
        <v>0</v>
      </c>
      <c r="K19" s="80"/>
      <c r="L19" s="37">
        <f>ZAMBOANGA!S30</f>
        <v>0</v>
      </c>
      <c r="M19" s="78"/>
      <c r="N19" s="37">
        <f>ZAMBOANGA!S27</f>
        <v>0</v>
      </c>
      <c r="O19" s="78"/>
      <c r="P19" s="76"/>
      <c r="Q19" s="7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ht="14.25" customHeight="1" x14ac:dyDescent="0.2">
      <c r="A20" s="33">
        <v>12</v>
      </c>
      <c r="B20" s="28" t="s">
        <v>56</v>
      </c>
      <c r="C20" s="28" t="s">
        <v>72</v>
      </c>
      <c r="D20" s="28" t="s">
        <v>15</v>
      </c>
      <c r="E20" s="29">
        <f>PAGADIAN!AA26</f>
        <v>0</v>
      </c>
      <c r="F20" s="26" t="s">
        <v>73</v>
      </c>
      <c r="G20" s="80"/>
      <c r="H20" s="37">
        <f>PAGADIAN!AA28</f>
        <v>0</v>
      </c>
      <c r="I20" s="80"/>
      <c r="J20" s="37">
        <f>PAGADIAN!AA29</f>
        <v>0</v>
      </c>
      <c r="K20" s="80"/>
      <c r="L20" s="37">
        <f>PAGADIAN!AA30</f>
        <v>0</v>
      </c>
      <c r="M20" s="84"/>
      <c r="N20" s="37">
        <f>PAGADIAN!AA27</f>
        <v>0</v>
      </c>
      <c r="O20" s="78"/>
      <c r="P20" s="76"/>
      <c r="Q20" s="7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ht="14.25" customHeight="1" x14ac:dyDescent="0.2">
      <c r="A21" s="26">
        <v>13</v>
      </c>
      <c r="B21" s="28" t="s">
        <v>57</v>
      </c>
      <c r="C21" s="28" t="s">
        <v>72</v>
      </c>
      <c r="D21" s="28" t="s">
        <v>15</v>
      </c>
      <c r="E21" s="29">
        <f>PAGADIAN!AE26</f>
        <v>0</v>
      </c>
      <c r="F21" s="26" t="s">
        <v>73</v>
      </c>
      <c r="G21" s="80"/>
      <c r="H21" s="37">
        <f>PAGADIAN!AE28</f>
        <v>0</v>
      </c>
      <c r="I21" s="80"/>
      <c r="J21" s="37">
        <f>PAGADIAN!AE29</f>
        <v>0</v>
      </c>
      <c r="K21" s="80"/>
      <c r="L21" s="37">
        <f>PAGADIAN!AE30</f>
        <v>0</v>
      </c>
      <c r="M21" s="84"/>
      <c r="N21" s="37">
        <f>PAGADIAN!AE27</f>
        <v>0</v>
      </c>
      <c r="O21" s="78"/>
      <c r="P21" s="76"/>
      <c r="Q21" s="7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ht="14.25" customHeight="1" x14ac:dyDescent="0.2">
      <c r="A22" s="26">
        <v>14</v>
      </c>
      <c r="B22" s="39" t="s">
        <v>27</v>
      </c>
      <c r="C22" s="39" t="s">
        <v>78</v>
      </c>
      <c r="D22" s="39" t="s">
        <v>79</v>
      </c>
      <c r="E22" s="40">
        <f>BUUG!C26</f>
        <v>0</v>
      </c>
      <c r="F22" s="26" t="s">
        <v>73</v>
      </c>
      <c r="G22" s="78"/>
      <c r="H22" s="37">
        <f>COUNTIF(BUUG!C9:C23,"VL")+COUNTIF(BUUG!C9:C23,"Leave")</f>
        <v>0</v>
      </c>
      <c r="I22" s="84"/>
      <c r="J22" s="37">
        <f>BUUG!C29</f>
        <v>0</v>
      </c>
      <c r="K22" s="78"/>
      <c r="L22" s="37">
        <f>BUUG!C30</f>
        <v>0</v>
      </c>
      <c r="M22" s="78"/>
      <c r="N22" s="37">
        <f>BUUG!C27</f>
        <v>0</v>
      </c>
      <c r="O22" s="78"/>
      <c r="P22" s="76"/>
      <c r="Q22" s="7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ht="14.25" customHeight="1" x14ac:dyDescent="0.2">
      <c r="A23" s="26">
        <v>15</v>
      </c>
      <c r="B23" s="28" t="s">
        <v>80</v>
      </c>
      <c r="C23" s="28" t="s">
        <v>78</v>
      </c>
      <c r="D23" s="28" t="s">
        <v>17</v>
      </c>
      <c r="E23" s="29">
        <f>TANGUB!K26</f>
        <v>0</v>
      </c>
      <c r="F23" s="26" t="s">
        <v>73</v>
      </c>
      <c r="G23" s="78"/>
      <c r="H23" s="37">
        <f>TANGUB!K28</f>
        <v>0</v>
      </c>
      <c r="I23" s="84"/>
      <c r="J23" s="37">
        <f>TANGUB!K29</f>
        <v>0</v>
      </c>
      <c r="K23" s="78"/>
      <c r="L23" s="37">
        <f>TANGUB!K30</f>
        <v>0</v>
      </c>
      <c r="M23" s="78"/>
      <c r="N23" s="37">
        <f>TANGUB!K27</f>
        <v>0</v>
      </c>
      <c r="O23" s="78"/>
      <c r="P23" s="76"/>
      <c r="Q23" s="78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ht="14.25" customHeight="1" x14ac:dyDescent="0.2">
      <c r="A24" s="26">
        <v>16</v>
      </c>
      <c r="B24" s="28" t="s">
        <v>81</v>
      </c>
      <c r="C24" s="28" t="s">
        <v>78</v>
      </c>
      <c r="D24" s="28" t="s">
        <v>62</v>
      </c>
      <c r="E24" s="29">
        <f>OROQUIETA!K26</f>
        <v>0</v>
      </c>
      <c r="F24" s="26" t="s">
        <v>53</v>
      </c>
      <c r="G24" s="78"/>
      <c r="H24" s="37">
        <f>OROQUIETA!K28</f>
        <v>0</v>
      </c>
      <c r="I24" s="85"/>
      <c r="J24" s="37">
        <f>OROQUIETA!K29</f>
        <v>0</v>
      </c>
      <c r="K24" s="80"/>
      <c r="L24" s="37">
        <f>OROQUIETA!K30</f>
        <v>0</v>
      </c>
      <c r="M24" s="78"/>
      <c r="N24" s="37">
        <f>OROQUIETA!K27</f>
        <v>0</v>
      </c>
      <c r="O24" s="78"/>
      <c r="P24" s="76"/>
      <c r="Q24" s="7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ht="14.25" customHeight="1" x14ac:dyDescent="0.2">
      <c r="A25" s="33">
        <v>17</v>
      </c>
      <c r="B25" s="28" t="s">
        <v>82</v>
      </c>
      <c r="C25" s="28" t="s">
        <v>78</v>
      </c>
      <c r="D25" s="28" t="s">
        <v>83</v>
      </c>
      <c r="E25" s="29">
        <f>IPIL!S26</f>
        <v>0</v>
      </c>
      <c r="F25" s="26" t="s">
        <v>73</v>
      </c>
      <c r="G25" s="78"/>
      <c r="H25" s="37">
        <f>IPIL!S28</f>
        <v>0</v>
      </c>
      <c r="I25" s="84"/>
      <c r="J25" s="37">
        <f>IPIL!S29</f>
        <v>0</v>
      </c>
      <c r="K25" s="80"/>
      <c r="L25" s="37">
        <f>IPIL!S30</f>
        <v>0</v>
      </c>
      <c r="M25" s="78"/>
      <c r="N25" s="37">
        <f>IPIL!S27</f>
        <v>0</v>
      </c>
      <c r="O25" s="78"/>
      <c r="P25" s="76"/>
      <c r="Q25" s="78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ht="14.25" customHeight="1" x14ac:dyDescent="0.2">
      <c r="A26" s="26">
        <v>18</v>
      </c>
      <c r="B26" s="28" t="s">
        <v>84</v>
      </c>
      <c r="C26" s="28" t="s">
        <v>85</v>
      </c>
      <c r="D26" s="28" t="s">
        <v>67</v>
      </c>
      <c r="E26" s="29">
        <f>ZAMBOANGA!BG26</f>
        <v>0</v>
      </c>
      <c r="F26" s="26" t="s">
        <v>73</v>
      </c>
      <c r="G26" s="78"/>
      <c r="H26" s="37">
        <f>ZAMBOANGA!BG28</f>
        <v>0</v>
      </c>
      <c r="I26" s="84"/>
      <c r="J26" s="37">
        <f>ZAMBOANGA!BG29</f>
        <v>0</v>
      </c>
      <c r="K26" s="80"/>
      <c r="L26" s="37">
        <f>ZAMBOANGA!BG30</f>
        <v>0</v>
      </c>
      <c r="M26" s="78"/>
      <c r="N26" s="37">
        <f>ZAMBOANGA!BG27</f>
        <v>0</v>
      </c>
      <c r="O26" s="78"/>
      <c r="P26" s="76"/>
      <c r="Q26" s="7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ht="14.25" customHeight="1" x14ac:dyDescent="0.2">
      <c r="A27" s="26">
        <v>19</v>
      </c>
      <c r="B27" s="28" t="s">
        <v>44</v>
      </c>
      <c r="C27" s="28" t="s">
        <v>85</v>
      </c>
      <c r="D27" s="28" t="s">
        <v>17</v>
      </c>
      <c r="E27" s="29">
        <f>TANGUB!G26</f>
        <v>0</v>
      </c>
      <c r="F27" s="26" t="s">
        <v>73</v>
      </c>
      <c r="G27" s="78"/>
      <c r="H27" s="37">
        <f>TANGUB!G28</f>
        <v>0</v>
      </c>
      <c r="I27" s="84"/>
      <c r="J27" s="37">
        <f>TANGUB!G29</f>
        <v>0</v>
      </c>
      <c r="K27" s="80"/>
      <c r="L27" s="37">
        <f>TANGUB!G30</f>
        <v>0</v>
      </c>
      <c r="M27" s="78"/>
      <c r="N27" s="37">
        <f>TANGUB!G27</f>
        <v>0</v>
      </c>
      <c r="O27" s="78"/>
      <c r="P27" s="76"/>
      <c r="Q27" s="7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ht="14.25" customHeight="1" x14ac:dyDescent="0.2">
      <c r="A28" s="26">
        <v>20</v>
      </c>
      <c r="B28" s="28" t="s">
        <v>86</v>
      </c>
      <c r="C28" s="28" t="s">
        <v>85</v>
      </c>
      <c r="D28" s="28" t="s">
        <v>65</v>
      </c>
      <c r="E28" s="29">
        <f>IPIL!G26</f>
        <v>0</v>
      </c>
      <c r="F28" s="26" t="s">
        <v>73</v>
      </c>
      <c r="G28" s="78"/>
      <c r="H28" s="37">
        <f>IPIL!G28</f>
        <v>0</v>
      </c>
      <c r="I28" s="84"/>
      <c r="J28" s="37">
        <f>IPIL!G29</f>
        <v>0</v>
      </c>
      <c r="K28" s="80"/>
      <c r="L28" s="37">
        <f>IPIL!G30</f>
        <v>0</v>
      </c>
      <c r="M28" s="78"/>
      <c r="N28" s="37">
        <f>IPIL!G27</f>
        <v>0</v>
      </c>
      <c r="O28" s="78"/>
      <c r="P28" s="76"/>
      <c r="Q28" s="7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ht="17.25" customHeight="1" x14ac:dyDescent="0.2">
      <c r="A29" s="26">
        <v>21</v>
      </c>
      <c r="B29" s="28" t="s">
        <v>87</v>
      </c>
      <c r="C29" s="28" t="s">
        <v>85</v>
      </c>
      <c r="D29" s="28" t="s">
        <v>65</v>
      </c>
      <c r="E29" s="29">
        <f>IPIL!K26</f>
        <v>0</v>
      </c>
      <c r="F29" s="26" t="s">
        <v>73</v>
      </c>
      <c r="G29" s="78"/>
      <c r="H29" s="37">
        <f>IPIL!K28</f>
        <v>0</v>
      </c>
      <c r="I29" s="84"/>
      <c r="J29" s="37">
        <f>IPIL!K29</f>
        <v>0</v>
      </c>
      <c r="K29" s="80"/>
      <c r="L29" s="37">
        <f>IPIL!K30</f>
        <v>0</v>
      </c>
      <c r="M29" s="78"/>
      <c r="N29" s="37">
        <f>IPIL!K27</f>
        <v>0</v>
      </c>
      <c r="O29" s="78"/>
      <c r="P29" s="76"/>
      <c r="Q29" s="7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ht="17.25" customHeight="1" x14ac:dyDescent="0.2">
      <c r="A30" s="33">
        <v>22</v>
      </c>
      <c r="B30" s="28" t="s">
        <v>88</v>
      </c>
      <c r="C30" s="28" t="s">
        <v>85</v>
      </c>
      <c r="D30" s="28" t="s">
        <v>17</v>
      </c>
      <c r="E30" s="29">
        <f>TANGUB!S26</f>
        <v>0</v>
      </c>
      <c r="F30" s="26" t="s">
        <v>73</v>
      </c>
      <c r="G30" s="78"/>
      <c r="H30" s="37">
        <f>TANGUB!S28</f>
        <v>0</v>
      </c>
      <c r="I30" s="84"/>
      <c r="J30" s="37">
        <f>TANGUB!S29</f>
        <v>0</v>
      </c>
      <c r="K30" s="80"/>
      <c r="L30" s="37">
        <f>TANGUB!S30</f>
        <v>0</v>
      </c>
      <c r="M30" s="78"/>
      <c r="N30" s="37">
        <f>TANGUB!S27</f>
        <v>0</v>
      </c>
      <c r="O30" s="78"/>
      <c r="P30" s="76"/>
      <c r="Q30" s="7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ht="14.25" customHeight="1" x14ac:dyDescent="0.2">
      <c r="A31" s="26">
        <v>23</v>
      </c>
      <c r="B31" s="28" t="s">
        <v>89</v>
      </c>
      <c r="C31" s="28" t="s">
        <v>90</v>
      </c>
      <c r="D31" s="28" t="s">
        <v>15</v>
      </c>
      <c r="E31" s="29">
        <f>PAGADIAN!G26</f>
        <v>0</v>
      </c>
      <c r="F31" s="26" t="s">
        <v>73</v>
      </c>
      <c r="G31" s="78"/>
      <c r="H31" s="37">
        <f>PAGADIAN!G28</f>
        <v>0</v>
      </c>
      <c r="I31" s="84"/>
      <c r="J31" s="37">
        <f>PAGADIAN!G29</f>
        <v>0</v>
      </c>
      <c r="K31" s="80"/>
      <c r="L31" s="37">
        <f>PAGADIAN!G30</f>
        <v>0</v>
      </c>
      <c r="M31" s="78"/>
      <c r="N31" s="37">
        <f>PAGADIAN!G27</f>
        <v>0</v>
      </c>
      <c r="O31" s="78"/>
      <c r="P31" s="76"/>
      <c r="Q31" s="7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ht="14.25" customHeight="1" x14ac:dyDescent="0.2">
      <c r="A32" s="26">
        <v>24</v>
      </c>
      <c r="B32" s="28" t="s">
        <v>46</v>
      </c>
      <c r="C32" s="28" t="s">
        <v>90</v>
      </c>
      <c r="D32" s="28" t="s">
        <v>15</v>
      </c>
      <c r="E32" s="29">
        <f>PAGADIAN!K26</f>
        <v>0</v>
      </c>
      <c r="F32" s="26" t="s">
        <v>73</v>
      </c>
      <c r="G32" s="78"/>
      <c r="H32" s="37">
        <f>PAGADIAN!K28</f>
        <v>0</v>
      </c>
      <c r="I32" s="84"/>
      <c r="J32" s="37">
        <f>PAGADIAN!K29</f>
        <v>0</v>
      </c>
      <c r="K32" s="80"/>
      <c r="L32" s="37">
        <f>PAGADIAN!K30</f>
        <v>0</v>
      </c>
      <c r="M32" s="78"/>
      <c r="N32" s="37">
        <f>PAGADIAN!K27</f>
        <v>0</v>
      </c>
      <c r="O32" s="78"/>
      <c r="P32" s="76"/>
      <c r="Q32" s="7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ht="14.25" customHeight="1" x14ac:dyDescent="0.2">
      <c r="A33" s="26">
        <v>25</v>
      </c>
      <c r="B33" s="28" t="s">
        <v>91</v>
      </c>
      <c r="C33" s="28" t="s">
        <v>90</v>
      </c>
      <c r="D33" s="28" t="s">
        <v>67</v>
      </c>
      <c r="E33" s="29">
        <f>ZAMBOANGA!AY26</f>
        <v>0</v>
      </c>
      <c r="F33" s="26" t="s">
        <v>73</v>
      </c>
      <c r="G33" s="78"/>
      <c r="H33" s="37">
        <f>ZAMBOANGA!AY28</f>
        <v>0</v>
      </c>
      <c r="I33" s="84"/>
      <c r="J33" s="37">
        <f>ZAMBOANGA!AY29</f>
        <v>0</v>
      </c>
      <c r="K33" s="80"/>
      <c r="L33" s="37">
        <f>ZAMBOANGA!AY30</f>
        <v>0</v>
      </c>
      <c r="M33" s="78"/>
      <c r="N33" s="37">
        <f>ZAMBOANGA!AY27</f>
        <v>0</v>
      </c>
      <c r="O33" s="78"/>
      <c r="P33" s="76"/>
      <c r="Q33" s="78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ht="14.25" customHeight="1" x14ac:dyDescent="0.2">
      <c r="A34" s="26">
        <v>26</v>
      </c>
      <c r="B34" s="28" t="s">
        <v>92</v>
      </c>
      <c r="C34" s="28" t="s">
        <v>90</v>
      </c>
      <c r="D34" s="28" t="s">
        <v>65</v>
      </c>
      <c r="E34" s="29">
        <f>IPIL!W26</f>
        <v>0</v>
      </c>
      <c r="F34" s="26" t="s">
        <v>73</v>
      </c>
      <c r="G34" s="78"/>
      <c r="H34" s="37">
        <f>IPIL!W28</f>
        <v>0</v>
      </c>
      <c r="I34" s="84"/>
      <c r="J34" s="37">
        <f>IPIL!W29</f>
        <v>0</v>
      </c>
      <c r="K34" s="82"/>
      <c r="L34" s="37">
        <f>IPIL!W30</f>
        <v>0</v>
      </c>
      <c r="M34" s="78"/>
      <c r="N34" s="37">
        <f>IPIL!W27</f>
        <v>0</v>
      </c>
      <c r="O34" s="78"/>
      <c r="P34" s="76"/>
      <c r="Q34" s="7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ht="14.25" customHeight="1" x14ac:dyDescent="0.2">
      <c r="A35" s="33">
        <v>27</v>
      </c>
      <c r="B35" s="28" t="s">
        <v>93</v>
      </c>
      <c r="C35" s="28" t="s">
        <v>90</v>
      </c>
      <c r="D35" s="28" t="s">
        <v>67</v>
      </c>
      <c r="E35" s="29">
        <f>ZAMBOANGA!CU26</f>
        <v>0</v>
      </c>
      <c r="F35" s="26" t="s">
        <v>73</v>
      </c>
      <c r="G35" s="78"/>
      <c r="H35" s="37">
        <f>ZAMBOANGA!CU28</f>
        <v>0</v>
      </c>
      <c r="I35" s="84"/>
      <c r="J35" s="37">
        <f>ZAMBOANGA!CU29</f>
        <v>0</v>
      </c>
      <c r="K35" s="80"/>
      <c r="L35" s="37">
        <f>ZAMBOANGA!CU30</f>
        <v>0</v>
      </c>
      <c r="M35" s="78"/>
      <c r="N35" s="37">
        <f>ZAMBOANGA!CU27</f>
        <v>0</v>
      </c>
      <c r="O35" s="78"/>
      <c r="P35" s="76"/>
      <c r="Q35" s="78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ht="14.25" customHeight="1" x14ac:dyDescent="0.2">
      <c r="A36" s="26">
        <v>28</v>
      </c>
      <c r="B36" s="28" t="s">
        <v>94</v>
      </c>
      <c r="C36" s="28" t="s">
        <v>90</v>
      </c>
      <c r="D36" s="28" t="s">
        <v>67</v>
      </c>
      <c r="E36" s="29">
        <f>ZAMBOANGA!CQ26</f>
        <v>0</v>
      </c>
      <c r="F36" s="26" t="s">
        <v>73</v>
      </c>
      <c r="G36" s="78"/>
      <c r="H36" s="37">
        <f>ZAMBOANGA!CQ28</f>
        <v>0</v>
      </c>
      <c r="I36" s="84"/>
      <c r="J36" s="37">
        <f>ZAMBOANGA!CQ29</f>
        <v>0</v>
      </c>
      <c r="K36" s="80"/>
      <c r="L36" s="37">
        <f>ZAMBOANGA!CQ30</f>
        <v>0</v>
      </c>
      <c r="M36" s="84"/>
      <c r="N36" s="37">
        <f>ZAMBOANGA!CQ27</f>
        <v>0</v>
      </c>
      <c r="O36" s="78"/>
      <c r="P36" s="76"/>
      <c r="Q36" s="78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ht="14.25" customHeight="1" x14ac:dyDescent="0.2">
      <c r="A37" s="26">
        <v>29</v>
      </c>
      <c r="B37" s="28" t="s">
        <v>95</v>
      </c>
      <c r="C37" s="28" t="s">
        <v>90</v>
      </c>
      <c r="D37" s="28" t="s">
        <v>67</v>
      </c>
      <c r="E37" s="29">
        <f>ZAMBOANGA!BW26</f>
        <v>0</v>
      </c>
      <c r="F37" s="26" t="s">
        <v>73</v>
      </c>
      <c r="G37" s="78"/>
      <c r="H37" s="37">
        <f>ZAMBOANGA!BW28</f>
        <v>0</v>
      </c>
      <c r="I37" s="84"/>
      <c r="J37" s="37">
        <f>ZAMBOANGA!BW29</f>
        <v>0</v>
      </c>
      <c r="K37" s="80"/>
      <c r="L37" s="37">
        <f>ZAMBOANGA!BW30</f>
        <v>0</v>
      </c>
      <c r="M37" s="78"/>
      <c r="N37" s="37">
        <f>ZAMBOANGA!BW27</f>
        <v>0</v>
      </c>
      <c r="O37" s="78"/>
      <c r="P37" s="76"/>
      <c r="Q37" s="7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ht="14.25" customHeight="1" x14ac:dyDescent="0.2">
      <c r="A38" s="26">
        <v>30</v>
      </c>
      <c r="B38" s="28" t="s">
        <v>96</v>
      </c>
      <c r="C38" s="28" t="s">
        <v>97</v>
      </c>
      <c r="D38" s="28" t="s">
        <v>67</v>
      </c>
      <c r="E38" s="29">
        <f>ZAMBOANGA!BO26</f>
        <v>0</v>
      </c>
      <c r="F38" s="26" t="s">
        <v>73</v>
      </c>
      <c r="G38" s="78"/>
      <c r="H38" s="37">
        <f>ZAMBOANGA!BO28</f>
        <v>0</v>
      </c>
      <c r="I38" s="84"/>
      <c r="J38" s="37">
        <f>ZAMBOANGA!BO29</f>
        <v>0</v>
      </c>
      <c r="K38" s="80"/>
      <c r="L38" s="37">
        <f>ZAMBOANGA!BO30</f>
        <v>0</v>
      </c>
      <c r="M38" s="78"/>
      <c r="N38" s="37">
        <f>ZAMBOANGA!BO27</f>
        <v>0</v>
      </c>
      <c r="O38" s="78"/>
      <c r="P38" s="76"/>
      <c r="Q38" s="7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ht="14.25" customHeight="1" x14ac:dyDescent="0.2">
      <c r="A39" s="26">
        <v>31</v>
      </c>
      <c r="B39" s="28" t="s">
        <v>98</v>
      </c>
      <c r="C39" s="28" t="s">
        <v>99</v>
      </c>
      <c r="D39" s="28" t="s">
        <v>83</v>
      </c>
      <c r="E39" s="29">
        <f>IPIL!O26</f>
        <v>0</v>
      </c>
      <c r="F39" s="26" t="s">
        <v>73</v>
      </c>
      <c r="G39" s="78"/>
      <c r="H39" s="37">
        <f>IPIL!O28</f>
        <v>0</v>
      </c>
      <c r="I39" s="84"/>
      <c r="J39" s="37">
        <f>IPIL!O29</f>
        <v>0</v>
      </c>
      <c r="K39" s="80"/>
      <c r="L39" s="37">
        <f>IPIL!O30</f>
        <v>0</v>
      </c>
      <c r="M39" s="79"/>
      <c r="N39" s="37">
        <f>IPIL!O27</f>
        <v>0</v>
      </c>
      <c r="O39" s="78"/>
      <c r="P39" s="76"/>
      <c r="Q39" s="7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ht="14.25" customHeight="1" x14ac:dyDescent="0.2">
      <c r="A40" s="33">
        <v>32</v>
      </c>
      <c r="B40" s="28" t="s">
        <v>100</v>
      </c>
      <c r="C40" s="28" t="s">
        <v>99</v>
      </c>
      <c r="D40" s="28" t="s">
        <v>62</v>
      </c>
      <c r="E40" s="29">
        <f>OROQUIETA!W26</f>
        <v>0</v>
      </c>
      <c r="F40" s="26" t="s">
        <v>53</v>
      </c>
      <c r="G40" s="78"/>
      <c r="H40" s="37">
        <f>OROQUIETA!W28</f>
        <v>0</v>
      </c>
      <c r="I40" s="84"/>
      <c r="J40" s="37">
        <f>OROQUIETA!W29</f>
        <v>0</v>
      </c>
      <c r="K40" s="80"/>
      <c r="L40" s="37">
        <f>OROQUIETA!W30</f>
        <v>0</v>
      </c>
      <c r="M40" s="78"/>
      <c r="N40" s="37">
        <f>OROQUIETA!W27</f>
        <v>0</v>
      </c>
      <c r="O40" s="78"/>
      <c r="P40" s="76"/>
      <c r="Q40" s="7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ht="14.25" customHeight="1" x14ac:dyDescent="0.2">
      <c r="A41" s="26">
        <v>33</v>
      </c>
      <c r="B41" s="14" t="s">
        <v>101</v>
      </c>
      <c r="C41" s="28" t="s">
        <v>99</v>
      </c>
      <c r="D41" s="28" t="s">
        <v>62</v>
      </c>
      <c r="E41" s="29">
        <f>OROQUIETA!O26</f>
        <v>0</v>
      </c>
      <c r="F41" s="26" t="s">
        <v>53</v>
      </c>
      <c r="G41" s="78"/>
      <c r="H41" s="37">
        <f>OROQUIETA!O28</f>
        <v>0</v>
      </c>
      <c r="I41" s="84"/>
      <c r="J41" s="37">
        <f>OROQUIETA!O29</f>
        <v>0</v>
      </c>
      <c r="K41" s="80"/>
      <c r="L41" s="37">
        <f>OROQUIETA!O30</f>
        <v>0</v>
      </c>
      <c r="M41" s="78"/>
      <c r="N41" s="37">
        <f>OROQUIETA!O27</f>
        <v>0</v>
      </c>
      <c r="O41" s="78"/>
      <c r="P41" s="76"/>
      <c r="Q41" s="7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ht="14.25" customHeight="1" x14ac:dyDescent="0.2">
      <c r="A42" s="26">
        <v>34</v>
      </c>
      <c r="B42" s="28" t="s">
        <v>102</v>
      </c>
      <c r="C42" s="28" t="s">
        <v>99</v>
      </c>
      <c r="D42" s="28" t="s">
        <v>103</v>
      </c>
      <c r="E42" s="29">
        <f>ZAMBOANGA!CM26</f>
        <v>0</v>
      </c>
      <c r="F42" s="26" t="s">
        <v>73</v>
      </c>
      <c r="G42" s="78"/>
      <c r="H42" s="45">
        <f>ZAMBOANGA!CM28</f>
        <v>0</v>
      </c>
      <c r="I42" s="84"/>
      <c r="J42" s="37">
        <f>ZAMBOANGA!CM29</f>
        <v>0</v>
      </c>
      <c r="K42" s="80"/>
      <c r="L42" s="37">
        <f>ZAMBOANGA!CM30</f>
        <v>0</v>
      </c>
      <c r="M42" s="78"/>
      <c r="N42" s="45">
        <f>ZAMBOANGA!CM27</f>
        <v>0</v>
      </c>
      <c r="O42" s="78"/>
      <c r="P42" s="76"/>
      <c r="Q42" s="78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ht="14.25" customHeight="1" x14ac:dyDescent="0.2">
      <c r="A43" s="26">
        <v>35</v>
      </c>
      <c r="B43" s="28" t="s">
        <v>104</v>
      </c>
      <c r="C43" s="28" t="s">
        <v>105</v>
      </c>
      <c r="D43" s="28" t="s">
        <v>67</v>
      </c>
      <c r="E43" s="29">
        <f>ZAMBOANGA!AE26</f>
        <v>0</v>
      </c>
      <c r="F43" s="26" t="s">
        <v>73</v>
      </c>
      <c r="G43" s="78"/>
      <c r="H43" s="37">
        <f>ZAMBOANGA!AE28</f>
        <v>0</v>
      </c>
      <c r="I43" s="84"/>
      <c r="J43" s="37">
        <f>ZAMBOANGA!AE29</f>
        <v>0</v>
      </c>
      <c r="K43" s="80"/>
      <c r="L43" s="37">
        <f>ZAMBOANGA!AE30</f>
        <v>0</v>
      </c>
      <c r="M43" s="79"/>
      <c r="N43" s="37">
        <f>ZAMBOANGA!AE27</f>
        <v>0</v>
      </c>
      <c r="O43" s="78"/>
      <c r="P43" s="76"/>
      <c r="Q43" s="78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ht="14.25" customHeight="1" x14ac:dyDescent="0.2">
      <c r="A44" s="26">
        <v>36</v>
      </c>
      <c r="B44" s="28" t="s">
        <v>106</v>
      </c>
      <c r="C44" s="28" t="s">
        <v>105</v>
      </c>
      <c r="D44" s="28" t="s">
        <v>107</v>
      </c>
      <c r="E44" s="29">
        <f>ZAMBOANGA!BS26</f>
        <v>0</v>
      </c>
      <c r="F44" s="26" t="s">
        <v>73</v>
      </c>
      <c r="G44" s="79"/>
      <c r="H44" s="37">
        <f>ZAMBOANGA!BS28</f>
        <v>0</v>
      </c>
      <c r="I44" s="84"/>
      <c r="J44" s="37">
        <f>ZAMBOANGA!BS29</f>
        <v>0</v>
      </c>
      <c r="K44" s="80"/>
      <c r="L44" s="37">
        <f>ZAMBOANGA!BS30</f>
        <v>0</v>
      </c>
      <c r="M44" s="79"/>
      <c r="N44" s="37">
        <f>ZAMBOANGA!BS27</f>
        <v>0</v>
      </c>
      <c r="O44" s="78"/>
      <c r="P44" s="76"/>
      <c r="Q44" s="78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ht="14.25" customHeight="1" x14ac:dyDescent="0.2">
      <c r="A45" s="33">
        <v>37</v>
      </c>
      <c r="B45" s="28" t="s">
        <v>108</v>
      </c>
      <c r="C45" s="28" t="s">
        <v>105</v>
      </c>
      <c r="D45" s="28" t="s">
        <v>107</v>
      </c>
      <c r="E45" s="29">
        <f>ZAMBOANGA!CA26</f>
        <v>0</v>
      </c>
      <c r="F45" s="26" t="s">
        <v>73</v>
      </c>
      <c r="G45" s="78"/>
      <c r="H45" s="37">
        <f>ZAMBOANGA!CA28</f>
        <v>0</v>
      </c>
      <c r="I45" s="84"/>
      <c r="J45" s="37">
        <f>ZAMBOANGA!CA29</f>
        <v>0</v>
      </c>
      <c r="K45" s="80"/>
      <c r="L45" s="37">
        <f>ZAMBOANGA!CA30</f>
        <v>0</v>
      </c>
      <c r="M45" s="78"/>
      <c r="N45" s="37">
        <f>ZAMBOANGA!CA27</f>
        <v>0</v>
      </c>
      <c r="O45" s="78"/>
      <c r="P45" s="76"/>
      <c r="Q45" s="78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ht="14.25" customHeight="1" x14ac:dyDescent="0.2">
      <c r="A46" s="26">
        <v>38</v>
      </c>
      <c r="B46" s="28" t="s">
        <v>109</v>
      </c>
      <c r="C46" s="28" t="s">
        <v>105</v>
      </c>
      <c r="D46" s="28" t="s">
        <v>107</v>
      </c>
      <c r="E46" s="29">
        <f>ZAMBOANGA!CE26</f>
        <v>0</v>
      </c>
      <c r="F46" s="26" t="s">
        <v>73</v>
      </c>
      <c r="G46" s="81"/>
      <c r="H46" s="37">
        <f>ZAMBOANGA!CE28</f>
        <v>0</v>
      </c>
      <c r="I46" s="84"/>
      <c r="J46" s="37">
        <f>ZAMBOANGA!CE29</f>
        <v>0</v>
      </c>
      <c r="K46" s="80"/>
      <c r="L46" s="37">
        <f>ZAMBOANGA!CE30</f>
        <v>0</v>
      </c>
      <c r="M46" s="78"/>
      <c r="N46" s="37">
        <f>ZAMBOANGA!CE27</f>
        <v>0</v>
      </c>
      <c r="O46" s="78"/>
      <c r="P46" s="76"/>
      <c r="Q46" s="7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ht="14.25" customHeight="1" x14ac:dyDescent="0.2">
      <c r="A47" s="26">
        <v>39</v>
      </c>
      <c r="B47" s="28" t="s">
        <v>110</v>
      </c>
      <c r="C47" s="28" t="s">
        <v>111</v>
      </c>
      <c r="D47" s="28" t="s">
        <v>65</v>
      </c>
      <c r="E47" s="29">
        <f>IPIL!AA26</f>
        <v>0</v>
      </c>
      <c r="F47" s="26" t="s">
        <v>73</v>
      </c>
      <c r="G47" s="78"/>
      <c r="H47" s="37">
        <f>IPIL!AA28</f>
        <v>0</v>
      </c>
      <c r="I47" s="86"/>
      <c r="J47" s="37">
        <f>IPIL!AA29</f>
        <v>0</v>
      </c>
      <c r="K47" s="80"/>
      <c r="L47" s="37">
        <f>IPIL!AA30</f>
        <v>0</v>
      </c>
      <c r="M47" s="78"/>
      <c r="N47" s="37">
        <f>IPIL!AA27</f>
        <v>0</v>
      </c>
      <c r="O47" s="78"/>
      <c r="P47" s="76"/>
      <c r="Q47" s="7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ht="14.25" customHeight="1" x14ac:dyDescent="0.2">
      <c r="A48" s="26">
        <v>40</v>
      </c>
      <c r="B48" s="28" t="s">
        <v>32</v>
      </c>
      <c r="C48" s="28" t="s">
        <v>111</v>
      </c>
      <c r="D48" s="28" t="s">
        <v>79</v>
      </c>
      <c r="E48" s="29">
        <f>BUUG!G26</f>
        <v>0</v>
      </c>
      <c r="F48" s="26" t="s">
        <v>73</v>
      </c>
      <c r="G48" s="77"/>
      <c r="H48" s="37">
        <f>BUUG!G28</f>
        <v>0</v>
      </c>
      <c r="I48" s="84"/>
      <c r="J48" s="37">
        <f>BUUG!G29</f>
        <v>0</v>
      </c>
      <c r="K48" s="80"/>
      <c r="L48" s="37">
        <f>BUUG!G30</f>
        <v>0</v>
      </c>
      <c r="M48" s="78"/>
      <c r="N48" s="37">
        <f>BUUG!G27</f>
        <v>0</v>
      </c>
      <c r="O48" s="78"/>
      <c r="P48" s="76"/>
      <c r="Q48" s="7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ht="14.25" customHeight="1" x14ac:dyDescent="0.2">
      <c r="A49" s="26">
        <v>41</v>
      </c>
      <c r="B49" s="28" t="s">
        <v>112</v>
      </c>
      <c r="C49" s="28" t="s">
        <v>111</v>
      </c>
      <c r="D49" s="28" t="s">
        <v>67</v>
      </c>
      <c r="E49" s="29">
        <f>ZAMBOANGA!AM26</f>
        <v>0</v>
      </c>
      <c r="F49" s="26" t="s">
        <v>73</v>
      </c>
      <c r="G49" s="79"/>
      <c r="H49" s="37">
        <f>ZAMBOANGA!AM28</f>
        <v>0</v>
      </c>
      <c r="I49" s="84"/>
      <c r="J49" s="37">
        <f>ZAMBOANGA!AM29</f>
        <v>0</v>
      </c>
      <c r="K49" s="80"/>
      <c r="L49" s="37">
        <f>ZAMBOANGA!AM30</f>
        <v>0</v>
      </c>
      <c r="M49" s="78"/>
      <c r="N49" s="37">
        <f>ZAMBOANGA!AM27</f>
        <v>0</v>
      </c>
      <c r="O49" s="78"/>
      <c r="P49" s="76"/>
      <c r="Q49" s="7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ht="14.25" customHeight="1" x14ac:dyDescent="0.2">
      <c r="A50" s="33">
        <v>42</v>
      </c>
      <c r="B50" s="28" t="s">
        <v>113</v>
      </c>
      <c r="C50" s="28" t="s">
        <v>111</v>
      </c>
      <c r="D50" s="28" t="s">
        <v>67</v>
      </c>
      <c r="E50" s="29">
        <f>ZAMBOANGA!AI26</f>
        <v>0</v>
      </c>
      <c r="F50" s="26" t="s">
        <v>73</v>
      </c>
      <c r="G50" s="78"/>
      <c r="H50" s="47">
        <f>ZAMBOANGA!AI28</f>
        <v>0</v>
      </c>
      <c r="I50" s="80"/>
      <c r="J50" s="48">
        <f>ZAMBOANGA!AI29</f>
        <v>0</v>
      </c>
      <c r="K50" s="80"/>
      <c r="L50" s="45">
        <f>ZAMBOANGA!AI30</f>
        <v>0</v>
      </c>
      <c r="M50" s="85"/>
      <c r="N50" s="47">
        <f>ZAMBOANGA!AI27</f>
        <v>0</v>
      </c>
      <c r="O50" s="78"/>
      <c r="P50" s="76"/>
      <c r="Q50" s="78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ht="14.25" customHeight="1" x14ac:dyDescent="0.2">
      <c r="A51" s="26">
        <v>43</v>
      </c>
      <c r="B51" s="28" t="s">
        <v>114</v>
      </c>
      <c r="C51" s="28" t="s">
        <v>111</v>
      </c>
      <c r="D51" s="28" t="s">
        <v>67</v>
      </c>
      <c r="E51" s="29">
        <f>ZAMBOANGA!CI26</f>
        <v>0</v>
      </c>
      <c r="F51" s="26" t="s">
        <v>73</v>
      </c>
      <c r="G51" s="78"/>
      <c r="H51" s="37">
        <f>ZAMBOANGA!CI28</f>
        <v>0</v>
      </c>
      <c r="I51" s="78"/>
      <c r="J51" s="37">
        <f>ZAMBOANGA!CI29</f>
        <v>0</v>
      </c>
      <c r="K51" s="80"/>
      <c r="L51" s="37">
        <f>ZAMBOANGA!CI30</f>
        <v>0</v>
      </c>
      <c r="M51" s="79"/>
      <c r="N51" s="37">
        <f>ZAMBOANGA!CI27</f>
        <v>0</v>
      </c>
      <c r="O51" s="78"/>
      <c r="P51" s="76"/>
      <c r="Q51" s="7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ht="14.25" customHeight="1" x14ac:dyDescent="0.2">
      <c r="A52" s="26">
        <v>44</v>
      </c>
      <c r="B52" s="28" t="s">
        <v>115</v>
      </c>
      <c r="C52" s="28" t="s">
        <v>111</v>
      </c>
      <c r="D52" s="28" t="s">
        <v>67</v>
      </c>
      <c r="E52" s="29">
        <f>ZAMBOANGA!CY26</f>
        <v>0</v>
      </c>
      <c r="F52" s="26" t="s">
        <v>73</v>
      </c>
      <c r="G52" s="78"/>
      <c r="H52" s="37">
        <f>ZAMBOANGA!CY28</f>
        <v>0</v>
      </c>
      <c r="I52" s="80"/>
      <c r="J52" s="37">
        <f>ZAMBOANGA!CY29</f>
        <v>0</v>
      </c>
      <c r="K52" s="80"/>
      <c r="L52" s="37">
        <f>ZAMBOANGA!CY30</f>
        <v>0</v>
      </c>
      <c r="M52" s="78"/>
      <c r="N52" s="37">
        <f>ZAMBOANGA!CY27</f>
        <v>0</v>
      </c>
      <c r="O52" s="78"/>
      <c r="P52" s="76"/>
      <c r="Q52" s="78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ht="18" customHeight="1" x14ac:dyDescent="0.2">
      <c r="A53" s="26">
        <v>45</v>
      </c>
      <c r="B53" s="4" t="s">
        <v>116</v>
      </c>
      <c r="C53" s="28" t="s">
        <v>111</v>
      </c>
      <c r="D53" s="49" t="s">
        <v>67</v>
      </c>
      <c r="E53" s="29">
        <f>ZAMBOANGA!AU26</f>
        <v>0</v>
      </c>
      <c r="F53" s="26" t="s">
        <v>73</v>
      </c>
      <c r="G53" s="78"/>
      <c r="H53" s="37">
        <f>ZAMBOANGA!AU28</f>
        <v>0</v>
      </c>
      <c r="I53" s="78"/>
      <c r="J53" s="37">
        <f>ZAMBOANGA!AU29</f>
        <v>0</v>
      </c>
      <c r="K53" s="80"/>
      <c r="L53" s="37">
        <f>ZAMBOANGA!AU30</f>
        <v>0</v>
      </c>
      <c r="M53" s="78"/>
      <c r="N53" s="37">
        <f>ZAMBOANGA!AU27</f>
        <v>0</v>
      </c>
      <c r="O53" s="78"/>
      <c r="P53" s="76"/>
      <c r="Q53" s="7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ht="18" customHeight="1" x14ac:dyDescent="0.2">
      <c r="A54" s="26">
        <v>46</v>
      </c>
      <c r="B54" s="28" t="s">
        <v>117</v>
      </c>
      <c r="C54" s="28" t="s">
        <v>111</v>
      </c>
      <c r="D54" s="50" t="s">
        <v>67</v>
      </c>
      <c r="E54" s="29">
        <f>ZAMBOANGA!BC26</f>
        <v>0</v>
      </c>
      <c r="F54" s="26" t="s">
        <v>73</v>
      </c>
      <c r="G54" s="82"/>
      <c r="H54" s="37">
        <f>ZAMBOANGA!BC28</f>
        <v>0</v>
      </c>
      <c r="I54" s="80"/>
      <c r="J54" s="37">
        <f>ZAMBOANGA!BC29</f>
        <v>0</v>
      </c>
      <c r="K54" s="80"/>
      <c r="L54" s="37">
        <f>ZAMBOANGA!BC30</f>
        <v>0</v>
      </c>
      <c r="M54" s="78"/>
      <c r="N54" s="37">
        <f>ZAMBOANGA!BC27</f>
        <v>0</v>
      </c>
      <c r="O54" s="78"/>
      <c r="P54" s="76"/>
      <c r="Q54" s="7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ht="14.25" customHeight="1" x14ac:dyDescent="0.2">
      <c r="A55" s="33">
        <v>47</v>
      </c>
      <c r="B55" s="28" t="s">
        <v>118</v>
      </c>
      <c r="C55" s="28" t="s">
        <v>111</v>
      </c>
      <c r="D55" s="28" t="s">
        <v>67</v>
      </c>
      <c r="E55" s="29">
        <f>ZAMBOANGA!AQ26</f>
        <v>0</v>
      </c>
      <c r="F55" s="26" t="s">
        <v>73</v>
      </c>
      <c r="G55" s="80"/>
      <c r="H55" s="37">
        <f>ZAMBOANGA!AQ28</f>
        <v>0</v>
      </c>
      <c r="I55" s="80"/>
      <c r="J55" s="37">
        <f>ZAMBOANGA!AQ29</f>
        <v>0</v>
      </c>
      <c r="K55" s="80"/>
      <c r="L55" s="37">
        <f>ZAMBOANGA!AQ30</f>
        <v>0</v>
      </c>
      <c r="M55" s="87"/>
      <c r="N55" s="37">
        <f>ZAMBOANGA!AQ27</f>
        <v>0</v>
      </c>
      <c r="O55" s="78"/>
      <c r="P55" s="76"/>
      <c r="Q55" s="7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ht="14.25" customHeight="1" x14ac:dyDescent="0.2">
      <c r="A56" s="26">
        <v>48</v>
      </c>
      <c r="B56" s="14" t="s">
        <v>52</v>
      </c>
      <c r="C56" s="28" t="s">
        <v>111</v>
      </c>
      <c r="D56" s="28" t="s">
        <v>17</v>
      </c>
      <c r="E56" s="29">
        <f>TANGUB!O26</f>
        <v>0</v>
      </c>
      <c r="F56" s="26" t="s">
        <v>73</v>
      </c>
      <c r="G56" s="80"/>
      <c r="H56" s="37">
        <f>TANGUB!O28</f>
        <v>0</v>
      </c>
      <c r="I56" s="80"/>
      <c r="J56" s="37">
        <f>TANGUB!O29</f>
        <v>0</v>
      </c>
      <c r="K56" s="80"/>
      <c r="L56" s="37">
        <f>TANGUB!O30</f>
        <v>0</v>
      </c>
      <c r="M56" s="87"/>
      <c r="N56" s="37">
        <f>TANGUB!O27</f>
        <v>0</v>
      </c>
      <c r="O56" s="78"/>
      <c r="P56" s="76"/>
      <c r="Q56" s="7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ht="14.25" customHeight="1" x14ac:dyDescent="0.2">
      <c r="A57" s="26">
        <v>49</v>
      </c>
      <c r="B57" s="14" t="s">
        <v>119</v>
      </c>
      <c r="C57" s="28" t="s">
        <v>120</v>
      </c>
      <c r="D57" s="28" t="s">
        <v>107</v>
      </c>
      <c r="E57" s="29">
        <f>ZAMBOANGA!BK26</f>
        <v>0</v>
      </c>
      <c r="F57" s="26" t="s">
        <v>73</v>
      </c>
      <c r="G57" s="80"/>
      <c r="H57" s="45">
        <f>ZAMBOANGA!BK28</f>
        <v>0</v>
      </c>
      <c r="I57" s="80"/>
      <c r="J57" s="37">
        <f>ZAMBOANGA!BK29</f>
        <v>0</v>
      </c>
      <c r="K57" s="80"/>
      <c r="L57" s="37">
        <f>ZAMBOANGA!BK30</f>
        <v>0</v>
      </c>
      <c r="M57" s="78"/>
      <c r="N57" s="45">
        <f>ZAMBOANGA!BK27</f>
        <v>0</v>
      </c>
      <c r="O57" s="76"/>
      <c r="P57" s="76"/>
      <c r="Q57" s="7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ht="14.25" customHeight="1" x14ac:dyDescent="0.2">
      <c r="A58" s="26">
        <v>50</v>
      </c>
      <c r="B58" s="28" t="s">
        <v>54</v>
      </c>
      <c r="C58" s="28" t="s">
        <v>120</v>
      </c>
      <c r="D58" s="28" t="s">
        <v>15</v>
      </c>
      <c r="E58" s="29">
        <f>PAGADIAN!W26</f>
        <v>0</v>
      </c>
      <c r="F58" s="26" t="s">
        <v>73</v>
      </c>
      <c r="G58" s="80"/>
      <c r="H58" s="45">
        <f>PAGADIAN!AE28</f>
        <v>0</v>
      </c>
      <c r="I58" s="80"/>
      <c r="J58" s="37">
        <f>PAGADIAN!AE29</f>
        <v>0</v>
      </c>
      <c r="K58" s="80"/>
      <c r="L58" s="37">
        <f>PAGADIAN!AE30</f>
        <v>0</v>
      </c>
      <c r="M58" s="78"/>
      <c r="N58" s="45">
        <f>PAGADIAN!AE27</f>
        <v>0</v>
      </c>
      <c r="O58" s="78"/>
      <c r="P58" s="76"/>
      <c r="Q58" s="7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ht="14.25" customHeight="1" x14ac:dyDescent="0.2">
      <c r="A59" s="26">
        <v>51</v>
      </c>
      <c r="B59" s="28" t="s">
        <v>49</v>
      </c>
      <c r="C59" s="28" t="s">
        <v>120</v>
      </c>
      <c r="D59" s="28" t="s">
        <v>15</v>
      </c>
      <c r="E59" s="29">
        <f>PAGADIAN!O26</f>
        <v>0</v>
      </c>
      <c r="F59" s="26" t="s">
        <v>73</v>
      </c>
      <c r="G59" s="80"/>
      <c r="H59" s="45">
        <f>PAGADIAN!W28</f>
        <v>0</v>
      </c>
      <c r="I59" s="80"/>
      <c r="J59" s="37">
        <f>PAGADIAN!W29</f>
        <v>0</v>
      </c>
      <c r="K59" s="80"/>
      <c r="L59" s="37">
        <f>PAGADIAN!W30</f>
        <v>0</v>
      </c>
      <c r="M59" s="78"/>
      <c r="N59" s="45">
        <f>PAGADIAN!W27</f>
        <v>0</v>
      </c>
      <c r="O59" s="78"/>
      <c r="P59" s="76"/>
      <c r="Q59" s="7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ht="14.25" customHeight="1" x14ac:dyDescent="0.2">
      <c r="A60" s="33">
        <v>52</v>
      </c>
      <c r="B60" s="28" t="s">
        <v>121</v>
      </c>
      <c r="C60" s="28" t="s">
        <v>120</v>
      </c>
      <c r="D60" s="28" t="s">
        <v>62</v>
      </c>
      <c r="E60" s="29">
        <f>OROQUIETA!G26</f>
        <v>0</v>
      </c>
      <c r="F60" s="26" t="s">
        <v>53</v>
      </c>
      <c r="G60" s="78"/>
      <c r="H60" s="45">
        <f>OROQUIETA!G28</f>
        <v>0</v>
      </c>
      <c r="I60" s="80"/>
      <c r="J60" s="37">
        <f>OROQUIETA!G29</f>
        <v>0</v>
      </c>
      <c r="K60" s="80"/>
      <c r="L60" s="37">
        <f>OROQUIETA!G30</f>
        <v>0</v>
      </c>
      <c r="M60" s="87"/>
      <c r="N60" s="37">
        <f>OROQUIETA!G27</f>
        <v>0</v>
      </c>
      <c r="O60" s="78"/>
      <c r="P60" s="76"/>
      <c r="Q60" s="7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ht="14.25" customHeight="1" x14ac:dyDescent="0.2">
      <c r="A61" s="26">
        <v>53</v>
      </c>
      <c r="B61" s="28" t="s">
        <v>122</v>
      </c>
      <c r="C61" s="28" t="s">
        <v>120</v>
      </c>
      <c r="D61" s="28" t="s">
        <v>62</v>
      </c>
      <c r="E61" s="29">
        <f>OROQUIETA!S26</f>
        <v>0</v>
      </c>
      <c r="F61" s="26" t="s">
        <v>53</v>
      </c>
      <c r="G61" s="80"/>
      <c r="H61" s="45">
        <f>OROQUIETA!S28</f>
        <v>0</v>
      </c>
      <c r="I61" s="80"/>
      <c r="J61" s="37">
        <f>OROQUIETA!S29</f>
        <v>0</v>
      </c>
      <c r="K61" s="80"/>
      <c r="L61" s="37">
        <f>OROQUIETA!S30</f>
        <v>0</v>
      </c>
      <c r="M61" s="88"/>
      <c r="N61" s="37">
        <f>OROQUIETA!S27</f>
        <v>0</v>
      </c>
      <c r="O61" s="78"/>
      <c r="P61" s="76"/>
      <c r="Q61" s="7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ht="14.25" customHeight="1" x14ac:dyDescent="0.2">
      <c r="A62" s="26">
        <v>54</v>
      </c>
      <c r="B62" s="28" t="s">
        <v>51</v>
      </c>
      <c r="C62" s="28" t="s">
        <v>120</v>
      </c>
      <c r="D62" s="28" t="s">
        <v>15</v>
      </c>
      <c r="E62" s="29">
        <f>PAGADIAN!S26</f>
        <v>0</v>
      </c>
      <c r="F62" s="26" t="s">
        <v>73</v>
      </c>
      <c r="G62" s="80"/>
      <c r="H62" s="37">
        <f>PAGADIAN!S28</f>
        <v>0</v>
      </c>
      <c r="I62" s="80"/>
      <c r="J62" s="37">
        <f>PAGADIAN!S29</f>
        <v>0</v>
      </c>
      <c r="K62" s="80"/>
      <c r="L62" s="37">
        <f>PAGADIAN!S30</f>
        <v>0</v>
      </c>
      <c r="M62" s="84"/>
      <c r="N62" s="37">
        <f>PAGADIAN!S27</f>
        <v>0</v>
      </c>
      <c r="O62" s="78"/>
      <c r="P62" s="76"/>
      <c r="Q62" s="7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ht="14.25" customHeight="1" x14ac:dyDescent="0.2">
      <c r="A63" s="28"/>
      <c r="B63" s="28"/>
      <c r="C63" s="28"/>
      <c r="D63" s="28"/>
      <c r="E63" s="28"/>
      <c r="F63" s="28"/>
      <c r="G63" s="76"/>
      <c r="H63" s="28"/>
      <c r="I63" s="76"/>
      <c r="J63" s="28"/>
      <c r="K63" s="76"/>
      <c r="L63" s="28"/>
      <c r="M63" s="89"/>
      <c r="N63" s="28"/>
      <c r="O63" s="76"/>
      <c r="P63" s="28"/>
      <c r="Q63" s="7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ht="12.75" customHeight="1" x14ac:dyDescent="0.2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51"/>
      <c r="N64" s="28"/>
      <c r="O64" s="28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ht="12.75" customHeight="1" x14ac:dyDescent="0.2">
      <c r="A65" s="153" t="s">
        <v>20</v>
      </c>
      <c r="B65" s="153" t="s">
        <v>21</v>
      </c>
      <c r="C65" s="153" t="s">
        <v>22</v>
      </c>
      <c r="D65" s="153" t="s">
        <v>10</v>
      </c>
      <c r="E65" s="153" t="s">
        <v>123</v>
      </c>
      <c r="F65" s="17"/>
      <c r="G65" s="136" t="s">
        <v>30</v>
      </c>
      <c r="H65" s="132"/>
      <c r="I65" s="137" t="s">
        <v>31</v>
      </c>
      <c r="J65" s="132"/>
      <c r="K65" s="138" t="s">
        <v>124</v>
      </c>
      <c r="L65" s="121" t="s">
        <v>33</v>
      </c>
      <c r="M65" s="122"/>
      <c r="N65" s="122"/>
      <c r="O65" s="123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ht="14.25" customHeight="1" x14ac:dyDescent="0.2">
      <c r="A66" s="139"/>
      <c r="B66" s="139"/>
      <c r="C66" s="139"/>
      <c r="D66" s="139"/>
      <c r="E66" s="139"/>
      <c r="F66" s="162"/>
      <c r="G66" s="141" t="s">
        <v>25</v>
      </c>
      <c r="H66" s="141" t="s">
        <v>39</v>
      </c>
      <c r="I66" s="142" t="s">
        <v>25</v>
      </c>
      <c r="J66" s="142" t="s">
        <v>38</v>
      </c>
      <c r="K66" s="139"/>
      <c r="L66" s="124"/>
      <c r="M66" s="125"/>
      <c r="N66" s="125"/>
      <c r="O66" s="126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ht="14.25" customHeight="1" x14ac:dyDescent="0.2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27"/>
      <c r="M67" s="128"/>
      <c r="N67" s="128"/>
      <c r="O67" s="12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ht="14.25" customHeight="1" x14ac:dyDescent="0.2">
      <c r="A68" s="26">
        <v>1</v>
      </c>
      <c r="B68" s="52" t="s">
        <v>58</v>
      </c>
      <c r="C68" s="52" t="s">
        <v>125</v>
      </c>
      <c r="D68" s="53" t="s">
        <v>15</v>
      </c>
      <c r="E68" s="54">
        <f>PAGADIAN!AI25</f>
        <v>0</v>
      </c>
      <c r="F68" s="28"/>
      <c r="G68" s="28"/>
      <c r="H68" s="55">
        <f>PAGADIAN!O28</f>
        <v>0</v>
      </c>
      <c r="I68" s="28"/>
      <c r="J68" s="55">
        <f>PAGADIAN!O29</f>
        <v>0</v>
      </c>
      <c r="K68" s="56">
        <v>46162</v>
      </c>
      <c r="L68" s="130"/>
      <c r="M68" s="131"/>
      <c r="N68" s="131"/>
      <c r="O68" s="132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ht="14.25" customHeight="1" x14ac:dyDescent="0.2">
      <c r="A69" s="26">
        <v>2</v>
      </c>
      <c r="B69" s="52" t="s">
        <v>168</v>
      </c>
      <c r="C69" s="52" t="s">
        <v>85</v>
      </c>
      <c r="D69" s="53" t="s">
        <v>15</v>
      </c>
      <c r="E69" s="54">
        <f>PAGADIAN!AI26</f>
        <v>0</v>
      </c>
      <c r="F69" s="28"/>
      <c r="G69" s="28"/>
      <c r="H69" s="55">
        <f>PAGADIAN!O29</f>
        <v>0</v>
      </c>
      <c r="I69" s="28"/>
      <c r="J69" s="55">
        <f>PAGADIAN!O30</f>
        <v>0</v>
      </c>
      <c r="K69" s="56">
        <v>46296</v>
      </c>
      <c r="L69" s="130"/>
      <c r="M69" s="131"/>
      <c r="N69" s="131"/>
      <c r="O69" s="132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ht="14.25" x14ac:dyDescent="0.2">
      <c r="A70" s="26">
        <v>2</v>
      </c>
      <c r="B70" s="52" t="s">
        <v>169</v>
      </c>
      <c r="C70" s="52" t="s">
        <v>125</v>
      </c>
      <c r="D70" s="53" t="s">
        <v>15</v>
      </c>
      <c r="E70" s="54">
        <f>SUM(BUUG!K26)</f>
        <v>0</v>
      </c>
      <c r="F70" s="28"/>
      <c r="G70" s="28"/>
      <c r="H70" s="55">
        <f>SUM(BUUG!K27)</f>
        <v>0</v>
      </c>
      <c r="I70" s="28"/>
      <c r="J70" s="55">
        <f>PAGADIAN!O31</f>
        <v>0</v>
      </c>
      <c r="K70" s="56">
        <v>46311</v>
      </c>
      <c r="L70" s="130"/>
      <c r="M70" s="131"/>
      <c r="N70" s="131"/>
      <c r="O70" s="132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ht="14.25" customHeight="1" x14ac:dyDescent="0.2">
      <c r="A71" s="133" t="s">
        <v>126</v>
      </c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ht="14.25" customHeight="1" x14ac:dyDescent="0.2">
      <c r="A72" s="58" t="s">
        <v>127</v>
      </c>
      <c r="B72" s="134" t="s">
        <v>128</v>
      </c>
      <c r="C72" s="131"/>
      <c r="D72" s="132"/>
      <c r="E72" s="135" t="s">
        <v>129</v>
      </c>
      <c r="F72" s="131"/>
      <c r="G72" s="131"/>
      <c r="H72" s="131"/>
      <c r="I72" s="132"/>
      <c r="J72" s="135" t="s">
        <v>130</v>
      </c>
      <c r="K72" s="131"/>
      <c r="L72" s="131"/>
      <c r="M72" s="131"/>
      <c r="N72" s="131"/>
      <c r="O72" s="132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ht="12.75" customHeight="1" x14ac:dyDescent="0.2">
      <c r="A73" s="26">
        <v>1</v>
      </c>
      <c r="B73" s="130"/>
      <c r="C73" s="131"/>
      <c r="D73" s="132"/>
      <c r="E73" s="130"/>
      <c r="F73" s="131"/>
      <c r="G73" s="131"/>
      <c r="H73" s="131"/>
      <c r="I73" s="132"/>
      <c r="J73" s="130"/>
      <c r="K73" s="131"/>
      <c r="L73" s="131"/>
      <c r="M73" s="131"/>
      <c r="N73" s="131"/>
      <c r="O73" s="132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ht="14.25" customHeight="1" x14ac:dyDescent="0.2">
      <c r="A74" s="26">
        <v>2</v>
      </c>
      <c r="B74" s="130"/>
      <c r="C74" s="131"/>
      <c r="D74" s="132"/>
      <c r="E74" s="130"/>
      <c r="F74" s="131"/>
      <c r="G74" s="131"/>
      <c r="H74" s="131"/>
      <c r="I74" s="132"/>
      <c r="J74" s="130"/>
      <c r="K74" s="131"/>
      <c r="L74" s="131"/>
      <c r="M74" s="131"/>
      <c r="N74" s="131"/>
      <c r="O74" s="132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ht="14.25" customHeight="1" x14ac:dyDescent="0.2">
      <c r="A75" s="26">
        <v>3</v>
      </c>
      <c r="B75" s="130"/>
      <c r="C75" s="131"/>
      <c r="D75" s="132"/>
      <c r="E75" s="130"/>
      <c r="F75" s="131"/>
      <c r="G75" s="131"/>
      <c r="H75" s="131"/>
      <c r="I75" s="132"/>
      <c r="J75" s="130"/>
      <c r="K75" s="131"/>
      <c r="L75" s="131"/>
      <c r="M75" s="131"/>
      <c r="N75" s="131"/>
      <c r="O75" s="132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ht="14.25" customHeight="1" x14ac:dyDescent="0.2">
      <c r="A76" s="143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ht="14.25" customHeight="1" x14ac:dyDescent="0.2">
      <c r="A77" s="4"/>
      <c r="B77" s="59" t="s">
        <v>131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ht="14.25" customHeight="1" x14ac:dyDescent="0.2">
      <c r="A78" s="4"/>
      <c r="B78" s="57" t="s">
        <v>132</v>
      </c>
      <c r="C78" s="4" t="s">
        <v>133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ht="14.25" customHeight="1" x14ac:dyDescent="0.2">
      <c r="A79" s="4"/>
      <c r="B79" s="59" t="s">
        <v>9</v>
      </c>
      <c r="C79" s="4"/>
      <c r="D79" s="4"/>
      <c r="E79" s="4"/>
      <c r="F79" s="4" t="s">
        <v>134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ht="14.25" customHeight="1" x14ac:dyDescent="0.2">
      <c r="A80" s="4"/>
      <c r="B80" s="146" t="s">
        <v>135</v>
      </c>
      <c r="C80" s="125"/>
      <c r="D80" s="125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ht="14.2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ht="14.25" customHeight="1" x14ac:dyDescent="0.2">
      <c r="A82" s="4"/>
      <c r="B82" s="60" t="s">
        <v>136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ht="14.25" customHeight="1" x14ac:dyDescent="0.2">
      <c r="A83" s="4"/>
      <c r="B83" s="4" t="s">
        <v>137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ht="14.25" customHeight="1" x14ac:dyDescent="0.2">
      <c r="A84" s="4"/>
      <c r="B84" s="61" t="s">
        <v>138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ht="14.25" customHeight="1" x14ac:dyDescent="0.2">
      <c r="A85" s="4"/>
      <c r="B85" s="61" t="s">
        <v>139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ht="14.25" customHeight="1" x14ac:dyDescent="0.2">
      <c r="A86" s="4"/>
      <c r="B86" s="61" t="s">
        <v>140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ht="14.25" customHeight="1" x14ac:dyDescent="0.2">
      <c r="A87" s="4"/>
      <c r="B87" s="4" t="s">
        <v>141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ht="14.2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62" t="s">
        <v>142</v>
      </c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ht="14.25" customHeight="1" x14ac:dyDescent="0.2">
      <c r="A89" s="4"/>
      <c r="B89" s="4" t="s">
        <v>143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ht="14.25" customHeight="1" x14ac:dyDescent="0.2">
      <c r="A90" s="4"/>
      <c r="B90" s="147" t="s">
        <v>144</v>
      </c>
      <c r="C90" s="131"/>
      <c r="D90" s="132"/>
      <c r="E90" s="147" t="s">
        <v>145</v>
      </c>
      <c r="F90" s="131"/>
      <c r="G90" s="131"/>
      <c r="H90" s="131"/>
      <c r="I90" s="132"/>
      <c r="J90" s="147" t="s">
        <v>146</v>
      </c>
      <c r="K90" s="131"/>
      <c r="L90" s="131"/>
      <c r="M90" s="131"/>
      <c r="N90" s="131"/>
      <c r="O90" s="132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ht="14.25" customHeight="1" x14ac:dyDescent="0.2">
      <c r="A91" s="4"/>
      <c r="B91" s="144" t="s">
        <v>147</v>
      </c>
      <c r="C91" s="131"/>
      <c r="D91" s="132"/>
      <c r="E91" s="145" t="s">
        <v>148</v>
      </c>
      <c r="F91" s="131"/>
      <c r="G91" s="131"/>
      <c r="H91" s="131"/>
      <c r="I91" s="132"/>
      <c r="J91" s="144" t="s">
        <v>149</v>
      </c>
      <c r="K91" s="131"/>
      <c r="L91" s="131"/>
      <c r="M91" s="131"/>
      <c r="N91" s="131"/>
      <c r="O91" s="132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ht="14.25" customHeight="1" x14ac:dyDescent="0.2">
      <c r="A92" s="4"/>
      <c r="B92" s="144" t="s">
        <v>150</v>
      </c>
      <c r="C92" s="131"/>
      <c r="D92" s="132"/>
      <c r="E92" s="145" t="s">
        <v>151</v>
      </c>
      <c r="F92" s="131"/>
      <c r="G92" s="131"/>
      <c r="H92" s="131"/>
      <c r="I92" s="132"/>
      <c r="J92" s="144" t="s">
        <v>152</v>
      </c>
      <c r="K92" s="131"/>
      <c r="L92" s="131"/>
      <c r="M92" s="131"/>
      <c r="N92" s="131"/>
      <c r="O92" s="132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ht="14.25" customHeight="1" x14ac:dyDescent="0.2">
      <c r="A93" s="4"/>
      <c r="B93" s="4" t="s">
        <v>153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ht="14.25" customHeight="1" x14ac:dyDescent="0.2">
      <c r="A94" s="4"/>
      <c r="B94" s="4" t="s">
        <v>154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ht="14.25" customHeight="1" x14ac:dyDescent="0.2">
      <c r="A95" s="4"/>
      <c r="B95" s="4" t="s">
        <v>155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ht="14.25" customHeight="1" x14ac:dyDescent="0.2">
      <c r="A96" s="4"/>
      <c r="B96" s="63" t="s">
        <v>156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ht="14.25" customHeight="1" x14ac:dyDescent="0.2">
      <c r="A97" s="4"/>
      <c r="B97" s="64" t="s">
        <v>157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ht="14.2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ht="14.25" customHeight="1" x14ac:dyDescent="0.2">
      <c r="A99" s="4" t="s">
        <v>158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ht="14.25" customHeight="1" x14ac:dyDescent="0.2">
      <c r="A100" s="4" t="s">
        <v>159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ht="14.25" customHeight="1" x14ac:dyDescent="0.2">
      <c r="A101" s="4" t="s">
        <v>160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ht="14.25" customHeight="1" x14ac:dyDescent="0.2">
      <c r="A102" s="4" t="s">
        <v>161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ht="14.25" customHeight="1" x14ac:dyDescent="0.2">
      <c r="A103" s="4" t="s">
        <v>162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ht="14.2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ht="14.2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ht="14.2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14.2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14.2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14.2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14.2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14.2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14.2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14.2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14.2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14.2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14.2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14.2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14.2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14.2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14.2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14.2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14.2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14.2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14.2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14.2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14.2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14.2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14.2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14.2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14.2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14.2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14.2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14.2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14.2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14.2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14.2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14.2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14.2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14.2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14.2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14.2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14.2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14.2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14.2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14.2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14.2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14.2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14.2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14.2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14.2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14.2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14.2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14.2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14.2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14.2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14.2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14.2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14.2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14.2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14.2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14.2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14.2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14.2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14.2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14.2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14.2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14.2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14.2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14.2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14.2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14.2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14.2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14.2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14.2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14.2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14.2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14.2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14.2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14.2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14.2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14.2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14.2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14.2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14.2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14.2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14.2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14.2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14.2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14.2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14.2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14.2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14.2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14.2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14.2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14.2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14.2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14.2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14.2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14.2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14.2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14.2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14.2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14.2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14.2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14.2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14.2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14.2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14.2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14.2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14.2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14.2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14.2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14.2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14.2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14.2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14.2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14.2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14.2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14.2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14.2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14.2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14.2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14.2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14.2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14.2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14.2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14.2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14.2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14.2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14.2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14.2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14.2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14.2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14.2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14.2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14.2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14.2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14.2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14.2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14.2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14.2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14.2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14.2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14.2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14.2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14.2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14.2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14.2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14.2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14.2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14.2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14.2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14.2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14.2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14.2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14.2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14.2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14.2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14.2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14.2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14.2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14.2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14.2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14.2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14.2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14.2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14.2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14.2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14.2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14.2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14.2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14.2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14.2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14.2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14.2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14.2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14.2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14.2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14.2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14.2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14.2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14.2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14.2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14.2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14.2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14.2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14.2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14.2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14.2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14.2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14.2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14.2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14.2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14.2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14.2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14.2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14.2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14.2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14.2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14.2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14.2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14.2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14.2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14.2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14.2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14.2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14.2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14.2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14.2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14.2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14.2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14.2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14.2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14.2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14.2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14.2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14.2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14.2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14.2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14.2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14.2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14.2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14.2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14.2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14.2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14.2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14.2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14.2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14.2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14.2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14.2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14.2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14.2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14.2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14.2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14.2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14.2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14.2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14.2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14.2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14.2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14.2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14.2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14.2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14.2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14.2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14.2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14.2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14.2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14.2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14.2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14.2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14.2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14.2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14.2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14.2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14.2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14.2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14.2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14.2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14.2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14.2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14.2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14.2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14.2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14.2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14.2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14.2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14.2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14.2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14.2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14.2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14.2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14.2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14.2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14.2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14.2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14.2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14.2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14.2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14.2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14.2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14.2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14.2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14.2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14.2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14.2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14.2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14.2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14.2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14.2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14.2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14.2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14.2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14.2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14.2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14.2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14.2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14.2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14.2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14.2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14.2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14.2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14.2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14.2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14.2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14.2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14.2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14.2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14.2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14.2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14.2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14.2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14.2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14.2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14.2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14.2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14.2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14.2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14.2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14.2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14.2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14.2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14.2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14.2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14.2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14.2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14.2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14.2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14.2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14.2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14.2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14.2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14.2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14.2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14.2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14.2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14.2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14.2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14.2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14.2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14.2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14.2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14.2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14.2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14.2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14.2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14.2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14.2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14.2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14.2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14.2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14.2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14.2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14.2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14.2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14.2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14.2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14.2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14.2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14.2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14.2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14.2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14.2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14.2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14.2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14.2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14.2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14.2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14.2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14.2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14.2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14.2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14.2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14.2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14.2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14.2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14.2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14.2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14.2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14.2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14.2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14.2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14.2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14.2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14.2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14.2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14.2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14.2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14.2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14.2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14.2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14.2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14.2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14.2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14.2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14.2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14.2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14.2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14.2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14.2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14.2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14.2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14.2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14.2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14.2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14.2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14.2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14.2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14.2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14.2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14.2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14.2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14.2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14.2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14.2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14.2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14.2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14.2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14.2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14.2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14.2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14.2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14.2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14.2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14.2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14.2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14.2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14.2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14.2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14.2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14.2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14.2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14.2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14.2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14.2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14.2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14.2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14.2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14.2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14.2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14.2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14.2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14.2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14.2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14.2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14.2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14.2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14.2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14.2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14.2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14.2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14.2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14.2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14.2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14.2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14.2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14.2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14.2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14.2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14.2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14.2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14.2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14.2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14.2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14.2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14.2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14.2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14.2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14.2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14.2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14.2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14.2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14.2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14.2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14.2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14.2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14.2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14.2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14.2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14.2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14.2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14.2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14.2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14.2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14.2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14.2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14.2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14.2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14.2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14.2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14.2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14.2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14.2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14.2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14.2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14.2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14.2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14.2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14.2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14.2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14.2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14.2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14.2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14.2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14.2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14.2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14.2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14.2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14.2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14.2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14.2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14.2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14.2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14.2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14.2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14.2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14.2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14.2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14.2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14.2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14.2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14.2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14.2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14.2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14.2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14.2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14.2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14.2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14.2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14.2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14.2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14.2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14.2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14.2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14.2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14.2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14.2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14.2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14.2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14.2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14.2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14.2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14.2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14.2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14.2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14.2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14.2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14.2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14.2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14.2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14.2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14.2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14.2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14.2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14.2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14.2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14.2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14.2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14.2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14.2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14.2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14.2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14.2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14.2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14.2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14.2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14.2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14.2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14.2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14.2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14.2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14.2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14.2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14.2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14.2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14.2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14.2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14.2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14.2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14.2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14.2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14.2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14.2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14.2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14.2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14.2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14.2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14.2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14.2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14.2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14.2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14.2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14.2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14.2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14.2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14.2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14.2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14.2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14.2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14.2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14.2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14.2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14.2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14.2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14.2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14.2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14.2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14.2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14.2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14.2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14.2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14.2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14.2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14.2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14.2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14.2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14.2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14.2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14.2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14.2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14.2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14.2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14.2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14.2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14.2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14.2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14.2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14.2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14.2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14.2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14.2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14.2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14.2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14.2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14.2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14.2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14.2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14.2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14.2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14.2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14.2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14.2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14.2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14.2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14.2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14.2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14.2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14.2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14.2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14.2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14.2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14.2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14.2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14.2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14.2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14.2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14.2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14.2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14.2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14.2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14.2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14.2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14.2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14.2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14.2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14.2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14.2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14.2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14.2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14.2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14.2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14.2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14.2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14.2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14.2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14.2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14.2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14.2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14.2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14.2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14.2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14.2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14.2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14.2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14.2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14.2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14.2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14.2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14.2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14.2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14.2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14.2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14.2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14.2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14.2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14.2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14.2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14.2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14.2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14.2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14.2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14.2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14.2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14.2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14.2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14.2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14.2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14.2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14.2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14.2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14.2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14.2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14.2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14.2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14.2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14.2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14.2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14.2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14.2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14.2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14.2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14.2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14.2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14.2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14.2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14.2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14.2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14.2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14.2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14.2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14.2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14.2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14.2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14.2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14.2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14.2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14.2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14.2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14.2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14.2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14.2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14.2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14.2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14.2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14.2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14.2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14.2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14.2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14.2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14.2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14.2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14.2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14.2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14.2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14.2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14.2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14.2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14.2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14.2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14.2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14.2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14.2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14.2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14.2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14.2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14.2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14.2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14.2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14.2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14.2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14.2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14.2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14.2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14.2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14.2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14.2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14.2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14.2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14.2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14.2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14.2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14.2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14.2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14.2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14.2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14.2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14.2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14.2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14.2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14.2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14.2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14.2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14.2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14.2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14.2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14.2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14.2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14.2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14.2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14.2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14.2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14.2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14.2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14.2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14.2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14.2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14.2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14.2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14.2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14.2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14.2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14.2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14.2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14.2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14.2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14.2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14.2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14.2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14.2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14.2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14.2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14.2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14.2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14.2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14.2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14.2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14.2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14.2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14.2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14.2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14.2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14.2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14.2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14.2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14.2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14.2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14.2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14.2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14.2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14.2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14.2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14.2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14.2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14.2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14.2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14.2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14.2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14.2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14.2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14.2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14.2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14.2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14.2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14.2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14.2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14.2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14.2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14.2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14.2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14.2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14.2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14.2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14.2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14.2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14.2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14.2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14.2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14.2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14.2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14.2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14.2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14.2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14.2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14.2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14.2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14.2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14.2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14.2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14.2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14.2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14.2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14.2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14.2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14.2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14.2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14.2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14.2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14.2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14.2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14.2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14.2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14.2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14.2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14.2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14.2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14.2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14.2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14.2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14.2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  <row r="1001" spans="1:37" ht="14.25" customHeight="1" x14ac:dyDescent="0.2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</row>
    <row r="1002" spans="1:37" ht="14.25" customHeight="1" x14ac:dyDescent="0.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</row>
  </sheetData>
  <mergeCells count="70">
    <mergeCell ref="F7:F8"/>
    <mergeCell ref="G7:G8"/>
    <mergeCell ref="A65:A67"/>
    <mergeCell ref="B65:B67"/>
    <mergeCell ref="C65:C67"/>
    <mergeCell ref="D65:D67"/>
    <mergeCell ref="E65:E67"/>
    <mergeCell ref="F66:F67"/>
    <mergeCell ref="O6:P6"/>
    <mergeCell ref="Q6:Q8"/>
    <mergeCell ref="I7:I8"/>
    <mergeCell ref="J7:J8"/>
    <mergeCell ref="O7:O8"/>
    <mergeCell ref="N5:P5"/>
    <mergeCell ref="A5:C5"/>
    <mergeCell ref="A6:A8"/>
    <mergeCell ref="B6:B8"/>
    <mergeCell ref="C6:C8"/>
    <mergeCell ref="D6:D8"/>
    <mergeCell ref="E6:E8"/>
    <mergeCell ref="G6:H6"/>
    <mergeCell ref="H7:H8"/>
    <mergeCell ref="K7:K8"/>
    <mergeCell ref="L7:L8"/>
    <mergeCell ref="M7:M8"/>
    <mergeCell ref="N7:N8"/>
    <mergeCell ref="I6:J6"/>
    <mergeCell ref="K6:L6"/>
    <mergeCell ref="M6:N6"/>
    <mergeCell ref="A1:Q1"/>
    <mergeCell ref="A2:Q2"/>
    <mergeCell ref="A3:Q3"/>
    <mergeCell ref="A4:C4"/>
    <mergeCell ref="D4:M4"/>
    <mergeCell ref="N4:P4"/>
    <mergeCell ref="A76:P76"/>
    <mergeCell ref="B92:D92"/>
    <mergeCell ref="E92:I92"/>
    <mergeCell ref="J92:O92"/>
    <mergeCell ref="B80:D80"/>
    <mergeCell ref="B90:D90"/>
    <mergeCell ref="E90:I90"/>
    <mergeCell ref="J90:O90"/>
    <mergeCell ref="B91:D91"/>
    <mergeCell ref="E91:I91"/>
    <mergeCell ref="J91:O91"/>
    <mergeCell ref="B73:D73"/>
    <mergeCell ref="B74:D74"/>
    <mergeCell ref="E74:I74"/>
    <mergeCell ref="J74:O74"/>
    <mergeCell ref="B75:D75"/>
    <mergeCell ref="E75:I75"/>
    <mergeCell ref="J75:O75"/>
    <mergeCell ref="E73:I73"/>
    <mergeCell ref="J73:O73"/>
    <mergeCell ref="L65:O67"/>
    <mergeCell ref="L69:O69"/>
    <mergeCell ref="A71:O71"/>
    <mergeCell ref="B72:D72"/>
    <mergeCell ref="E72:I72"/>
    <mergeCell ref="J72:O72"/>
    <mergeCell ref="G65:H65"/>
    <mergeCell ref="I65:J65"/>
    <mergeCell ref="K65:K67"/>
    <mergeCell ref="G66:G67"/>
    <mergeCell ref="H66:H67"/>
    <mergeCell ref="I66:I67"/>
    <mergeCell ref="J66:J67"/>
    <mergeCell ref="L68:O68"/>
    <mergeCell ref="L70:O70"/>
  </mergeCells>
  <pageMargins left="0.7" right="0.7" top="1.9312499999999999" bottom="1.9312499999999999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selection activeCell="K7" sqref="K7:L7"/>
    </sheetView>
  </sheetViews>
  <sheetFormatPr defaultColWidth="12.625" defaultRowHeight="15" customHeight="1" x14ac:dyDescent="0.2"/>
  <cols>
    <col min="1" max="1" width="11.375" customWidth="1"/>
    <col min="2" max="2" width="6.625" customWidth="1"/>
    <col min="3" max="3" width="11.25" customWidth="1"/>
    <col min="4" max="4" width="8.375" customWidth="1"/>
    <col min="5" max="5" width="9.375" customWidth="1"/>
    <col min="6" max="6" width="10.375" customWidth="1"/>
    <col min="7" max="7" width="10.875" customWidth="1"/>
    <col min="8" max="8" width="10.625" customWidth="1"/>
    <col min="9" max="9" width="11.75" customWidth="1"/>
    <col min="10" max="10" width="11.875" customWidth="1"/>
    <col min="11" max="26" width="8.375" customWidth="1"/>
    <col min="27" max="28" width="13.875" customWidth="1"/>
  </cols>
  <sheetData>
    <row r="1" spans="1:28" ht="14.25" customHeight="1" x14ac:dyDescent="0.25">
      <c r="A1" s="1" t="s">
        <v>2</v>
      </c>
      <c r="B1" s="2"/>
      <c r="C1" s="3" t="s">
        <v>5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6"/>
      <c r="AB1" s="6"/>
    </row>
    <row r="2" spans="1:28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6"/>
      <c r="AB2" s="6"/>
    </row>
    <row r="3" spans="1:28" ht="14.25" customHeight="1" x14ac:dyDescent="0.25">
      <c r="A3" s="7" t="s">
        <v>10</v>
      </c>
      <c r="B3" s="2"/>
      <c r="C3" s="10" t="s">
        <v>11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6"/>
      <c r="AB3" s="6"/>
    </row>
    <row r="4" spans="1:28" ht="14.25" customHeight="1" x14ac:dyDescent="0.25">
      <c r="A4" s="7" t="s">
        <v>14</v>
      </c>
      <c r="B4" s="2"/>
      <c r="C4" s="13" t="str">
        <f>CLEAN('SUMMARY_-_GCM'!D5)</f>
        <v>October 1-15, 2026</v>
      </c>
      <c r="D4" s="13"/>
      <c r="E4" s="13"/>
      <c r="F4" s="13"/>
      <c r="G4" s="1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6"/>
      <c r="AB4" s="6"/>
    </row>
    <row r="5" spans="1:2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6"/>
      <c r="AB5" s="6"/>
    </row>
    <row r="6" spans="1:2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6"/>
      <c r="AB6" s="6"/>
    </row>
    <row r="7" spans="1:28" ht="15" customHeight="1" x14ac:dyDescent="0.25">
      <c r="A7" s="164" t="s">
        <v>25</v>
      </c>
      <c r="B7" s="132"/>
      <c r="C7" s="164" t="s">
        <v>27</v>
      </c>
      <c r="D7" s="132"/>
      <c r="E7" s="165" t="s">
        <v>29</v>
      </c>
      <c r="F7" s="166"/>
      <c r="G7" s="164" t="s">
        <v>32</v>
      </c>
      <c r="H7" s="132"/>
      <c r="I7" s="165" t="s">
        <v>29</v>
      </c>
      <c r="J7" s="166"/>
      <c r="K7" s="164" t="s">
        <v>169</v>
      </c>
      <c r="L7" s="132"/>
      <c r="M7" s="165" t="s">
        <v>29</v>
      </c>
      <c r="N7" s="166"/>
      <c r="O7" s="180"/>
      <c r="P7" s="179"/>
      <c r="Q7" s="180"/>
      <c r="R7" s="179"/>
      <c r="S7" s="180"/>
      <c r="T7" s="179"/>
      <c r="U7" s="180"/>
      <c r="V7" s="163"/>
      <c r="W7" s="125"/>
      <c r="X7" s="2"/>
      <c r="Y7" s="2"/>
      <c r="Z7" s="6"/>
      <c r="AA7" s="6"/>
    </row>
    <row r="8" spans="1:28" ht="15" customHeight="1" x14ac:dyDescent="0.25">
      <c r="A8" s="75" t="s">
        <v>167</v>
      </c>
      <c r="B8" s="20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19"/>
      <c r="P8" s="19"/>
      <c r="Q8" s="19"/>
      <c r="R8" s="19"/>
      <c r="S8" s="19"/>
      <c r="T8" s="19"/>
      <c r="U8" s="19"/>
      <c r="V8" s="19"/>
      <c r="W8" s="19"/>
      <c r="X8" s="2"/>
      <c r="Y8" s="2"/>
      <c r="Z8" s="6"/>
      <c r="AA8" s="6"/>
    </row>
    <row r="9" spans="1:28" ht="14.25" customHeight="1" x14ac:dyDescent="0.2">
      <c r="A9" s="96"/>
      <c r="B9" s="96"/>
      <c r="C9" s="90"/>
      <c r="D9" s="90"/>
      <c r="E9" s="97"/>
      <c r="F9" s="97"/>
      <c r="G9" s="98"/>
      <c r="H9" s="92"/>
      <c r="I9" s="97"/>
      <c r="J9" s="97"/>
      <c r="K9" s="98"/>
      <c r="L9" s="92"/>
      <c r="M9" s="97"/>
      <c r="N9" s="97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6"/>
      <c r="AA9" s="6"/>
    </row>
    <row r="10" spans="1:28" ht="14.25" customHeight="1" x14ac:dyDescent="0.2">
      <c r="A10" s="96"/>
      <c r="B10" s="96"/>
      <c r="C10" s="98"/>
      <c r="D10" s="92"/>
      <c r="E10" s="97"/>
      <c r="F10" s="97"/>
      <c r="G10" s="98"/>
      <c r="H10" s="92"/>
      <c r="I10" s="97"/>
      <c r="J10" s="97"/>
      <c r="K10" s="98"/>
      <c r="L10" s="92"/>
      <c r="M10" s="97"/>
      <c r="N10" s="97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6"/>
      <c r="AA10" s="6"/>
    </row>
    <row r="11" spans="1:28" ht="14.25" customHeight="1" x14ac:dyDescent="0.2">
      <c r="A11" s="96"/>
      <c r="B11" s="96"/>
      <c r="C11" s="98"/>
      <c r="D11" s="92"/>
      <c r="E11" s="97"/>
      <c r="F11" s="97"/>
      <c r="G11" s="99"/>
      <c r="H11" s="92"/>
      <c r="I11" s="97"/>
      <c r="J11" s="97"/>
      <c r="K11" s="99"/>
      <c r="L11" s="92"/>
      <c r="M11" s="97"/>
      <c r="N11" s="97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6"/>
      <c r="AA11" s="6"/>
    </row>
    <row r="12" spans="1:28" ht="14.25" customHeight="1" x14ac:dyDescent="0.2">
      <c r="A12" s="96"/>
      <c r="B12" s="96"/>
      <c r="C12" s="98"/>
      <c r="D12" s="92"/>
      <c r="E12" s="97"/>
      <c r="F12" s="97"/>
      <c r="G12" s="98"/>
      <c r="H12" s="92"/>
      <c r="I12" s="97"/>
      <c r="J12" s="97"/>
      <c r="K12" s="98"/>
      <c r="L12" s="92"/>
      <c r="M12" s="97"/>
      <c r="N12" s="97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6"/>
      <c r="AA12" s="6"/>
    </row>
    <row r="13" spans="1:28" ht="14.25" customHeight="1" x14ac:dyDescent="0.2">
      <c r="A13" s="96"/>
      <c r="B13" s="96"/>
      <c r="C13" s="99"/>
      <c r="D13" s="92"/>
      <c r="E13" s="97"/>
      <c r="F13" s="97"/>
      <c r="G13" s="98"/>
      <c r="H13" s="92"/>
      <c r="I13" s="97"/>
      <c r="J13" s="97"/>
      <c r="K13" s="98"/>
      <c r="L13" s="92"/>
      <c r="M13" s="97"/>
      <c r="N13" s="97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6"/>
      <c r="AA13" s="6"/>
    </row>
    <row r="14" spans="1:28" ht="14.25" customHeight="1" x14ac:dyDescent="0.2">
      <c r="A14" s="96"/>
      <c r="B14" s="96"/>
      <c r="C14" s="98"/>
      <c r="D14" s="92"/>
      <c r="E14" s="97"/>
      <c r="F14" s="97"/>
      <c r="G14" s="90"/>
      <c r="H14" s="90"/>
      <c r="I14" s="97"/>
      <c r="J14" s="97"/>
      <c r="K14" s="90"/>
      <c r="L14" s="90"/>
      <c r="M14" s="97"/>
      <c r="N14" s="97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6"/>
      <c r="AA14" s="6"/>
    </row>
    <row r="15" spans="1:28" ht="14.25" customHeight="1" x14ac:dyDescent="0.2">
      <c r="A15" s="96"/>
      <c r="B15" s="96"/>
      <c r="C15" s="98"/>
      <c r="D15" s="92"/>
      <c r="E15" s="97"/>
      <c r="F15" s="97"/>
      <c r="G15" s="99"/>
      <c r="H15" s="92"/>
      <c r="I15" s="97"/>
      <c r="J15" s="97"/>
      <c r="K15" s="99"/>
      <c r="L15" s="92"/>
      <c r="M15" s="97"/>
      <c r="N15" s="97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6"/>
      <c r="AA15" s="6"/>
    </row>
    <row r="16" spans="1:28" ht="14.25" customHeight="1" x14ac:dyDescent="0.2">
      <c r="A16" s="96"/>
      <c r="B16" s="96"/>
      <c r="C16" s="90"/>
      <c r="D16" s="90"/>
      <c r="E16" s="97"/>
      <c r="F16" s="97"/>
      <c r="G16" s="98"/>
      <c r="H16" s="92"/>
      <c r="I16" s="97"/>
      <c r="J16" s="97"/>
      <c r="K16" s="98"/>
      <c r="L16" s="92"/>
      <c r="M16" s="97"/>
      <c r="N16" s="97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6"/>
      <c r="AA16" s="6"/>
    </row>
    <row r="17" spans="1:28" ht="14.25" customHeight="1" x14ac:dyDescent="0.2">
      <c r="A17" s="96"/>
      <c r="B17" s="96"/>
      <c r="C17" s="100"/>
      <c r="D17" s="92"/>
      <c r="E17" s="97"/>
      <c r="F17" s="97"/>
      <c r="G17" s="100"/>
      <c r="H17" s="92"/>
      <c r="I17" s="97"/>
      <c r="J17" s="97"/>
      <c r="K17" s="100"/>
      <c r="L17" s="92"/>
      <c r="M17" s="97"/>
      <c r="N17" s="97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6"/>
      <c r="AA17" s="6"/>
    </row>
    <row r="18" spans="1:28" ht="14.25" customHeight="1" x14ac:dyDescent="0.2">
      <c r="A18" s="96"/>
      <c r="B18" s="96"/>
      <c r="C18" s="100"/>
      <c r="D18" s="92"/>
      <c r="E18" s="97"/>
      <c r="F18" s="97"/>
      <c r="G18" s="98"/>
      <c r="H18" s="96"/>
      <c r="I18" s="97"/>
      <c r="J18" s="97"/>
      <c r="K18" s="98"/>
      <c r="L18" s="96"/>
      <c r="M18" s="97"/>
      <c r="N18" s="97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6"/>
      <c r="AA18" s="6"/>
    </row>
    <row r="19" spans="1:28" ht="14.25" customHeight="1" x14ac:dyDescent="0.2">
      <c r="A19" s="96"/>
      <c r="B19" s="96"/>
      <c r="C19" s="100"/>
      <c r="D19" s="92"/>
      <c r="E19" s="97"/>
      <c r="F19" s="97"/>
      <c r="G19" s="100"/>
      <c r="H19" s="92"/>
      <c r="I19" s="97"/>
      <c r="J19" s="97"/>
      <c r="K19" s="100"/>
      <c r="L19" s="92"/>
      <c r="M19" s="97"/>
      <c r="N19" s="97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6"/>
      <c r="AA19" s="6"/>
    </row>
    <row r="20" spans="1:28" ht="14.25" customHeight="1" x14ac:dyDescent="0.2">
      <c r="A20" s="96"/>
      <c r="B20" s="96"/>
      <c r="C20" s="100"/>
      <c r="D20" s="92"/>
      <c r="E20" s="97"/>
      <c r="F20" s="97"/>
      <c r="G20" s="100"/>
      <c r="H20" s="92"/>
      <c r="I20" s="97"/>
      <c r="J20" s="97"/>
      <c r="K20" s="100"/>
      <c r="L20" s="92"/>
      <c r="M20" s="97"/>
      <c r="N20" s="97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8" ht="15.75" customHeight="1" x14ac:dyDescent="0.2">
      <c r="A21" s="96"/>
      <c r="B21" s="96"/>
      <c r="C21" s="100"/>
      <c r="D21" s="92"/>
      <c r="E21" s="97"/>
      <c r="F21" s="97"/>
      <c r="G21" s="90"/>
      <c r="H21" s="90"/>
      <c r="I21" s="97"/>
      <c r="J21" s="97"/>
      <c r="K21" s="90"/>
      <c r="L21" s="90"/>
      <c r="M21" s="97"/>
      <c r="N21" s="97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8" ht="15.75" customHeight="1" x14ac:dyDescent="0.2">
      <c r="A22" s="96"/>
      <c r="B22" s="96"/>
      <c r="C22" s="100"/>
      <c r="D22" s="92"/>
      <c r="E22" s="97"/>
      <c r="F22" s="97"/>
      <c r="G22" s="100"/>
      <c r="H22" s="92"/>
      <c r="I22" s="97"/>
      <c r="J22" s="97"/>
      <c r="K22" s="100"/>
      <c r="L22" s="92"/>
      <c r="M22" s="97"/>
      <c r="N22" s="9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8" ht="15.75" customHeight="1" x14ac:dyDescent="0.2">
      <c r="A23" s="96"/>
      <c r="B23" s="96"/>
      <c r="C23" s="90"/>
      <c r="D23" s="90"/>
      <c r="E23" s="97"/>
      <c r="F23" s="97"/>
      <c r="G23" s="100"/>
      <c r="H23" s="92"/>
      <c r="I23" s="97"/>
      <c r="J23" s="97"/>
      <c r="K23" s="100"/>
      <c r="L23" s="92"/>
      <c r="M23" s="97"/>
      <c r="N23" s="9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8" ht="15.75" customHeight="1" x14ac:dyDescent="0.2">
      <c r="A24" s="101"/>
      <c r="B24" s="101"/>
      <c r="C24" s="101"/>
      <c r="D24" s="101"/>
      <c r="E24" s="97"/>
      <c r="F24" s="97"/>
      <c r="G24" s="101"/>
      <c r="H24" s="101"/>
      <c r="I24" s="97"/>
      <c r="J24" s="97"/>
      <c r="K24" s="101"/>
      <c r="L24" s="101"/>
      <c r="M24" s="97"/>
      <c r="N24" s="9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8" ht="15.75" customHeight="1" x14ac:dyDescent="0.2">
      <c r="A25" s="38"/>
      <c r="B25" s="3"/>
      <c r="C25" s="3"/>
      <c r="D25" s="3"/>
      <c r="E25" s="3"/>
      <c r="F25" s="3"/>
      <c r="G25" s="3"/>
      <c r="H25" s="7"/>
      <c r="I25" s="7"/>
      <c r="J25" s="7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8" ht="14.25" customHeight="1" x14ac:dyDescent="0.2">
      <c r="A26" s="169" t="s">
        <v>70</v>
      </c>
      <c r="B26" s="132"/>
      <c r="C26" s="170">
        <f>COUNT(C9:C23)</f>
        <v>0</v>
      </c>
      <c r="D26" s="131"/>
      <c r="E26" s="131"/>
      <c r="F26" s="132"/>
      <c r="G26" s="170">
        <f>COUNT(G9:G23)</f>
        <v>0</v>
      </c>
      <c r="H26" s="131"/>
      <c r="I26" s="131"/>
      <c r="J26" s="132"/>
      <c r="K26" s="170">
        <f>COUNT(K9:K23)</f>
        <v>0</v>
      </c>
      <c r="L26" s="131"/>
      <c r="M26" s="131"/>
      <c r="N26" s="132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8" ht="15.75" customHeight="1" x14ac:dyDescent="0.2">
      <c r="A27" s="169" t="s">
        <v>30</v>
      </c>
      <c r="B27" s="132"/>
      <c r="C27" s="168">
        <f>COUNTIF(C9:C23,"Absent")</f>
        <v>0</v>
      </c>
      <c r="D27" s="131"/>
      <c r="E27" s="131"/>
      <c r="F27" s="132"/>
      <c r="G27" s="168">
        <f>COUNTIF(G9:G23,"Absent")</f>
        <v>0</v>
      </c>
      <c r="H27" s="131"/>
      <c r="I27" s="131"/>
      <c r="J27" s="132"/>
      <c r="K27" s="168">
        <f>COUNTIF(K9:K23,"Absent")</f>
        <v>0</v>
      </c>
      <c r="L27" s="131"/>
      <c r="M27" s="131"/>
      <c r="N27" s="132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8" ht="15.75" customHeight="1" x14ac:dyDescent="0.2">
      <c r="A28" s="167" t="s">
        <v>24</v>
      </c>
      <c r="B28" s="132"/>
      <c r="C28" s="168">
        <f>COUNTIF(C9:C23,"Leave")+COUNTIF(C9:C23,"VL")</f>
        <v>0</v>
      </c>
      <c r="D28" s="131"/>
      <c r="E28" s="131"/>
      <c r="F28" s="132"/>
      <c r="G28" s="168">
        <f>COUNTIF(G9:G23,"Leave")+COUNTIF(G9:G23,"VL")</f>
        <v>0</v>
      </c>
      <c r="H28" s="131"/>
      <c r="I28" s="131"/>
      <c r="J28" s="132"/>
      <c r="K28" s="168">
        <f>COUNTIF(K9:K23,"Leave")+COUNTIF(K9:K23,"VL")</f>
        <v>0</v>
      </c>
      <c r="L28" s="131"/>
      <c r="M28" s="131"/>
      <c r="N28" s="132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8" ht="15.75" customHeight="1" x14ac:dyDescent="0.2">
      <c r="A29" s="167" t="s">
        <v>26</v>
      </c>
      <c r="B29" s="132"/>
      <c r="C29" s="171">
        <f>COUNTIF(C9:C23,"SL")</f>
        <v>0</v>
      </c>
      <c r="D29" s="131"/>
      <c r="E29" s="131"/>
      <c r="F29" s="132"/>
      <c r="G29" s="171">
        <f>COUNTIF(G9:G23,"SL")</f>
        <v>0</v>
      </c>
      <c r="H29" s="131"/>
      <c r="I29" s="131"/>
      <c r="J29" s="132"/>
      <c r="K29" s="171">
        <f>COUNTIF(K9:K23,"SL")</f>
        <v>0</v>
      </c>
      <c r="L29" s="131"/>
      <c r="M29" s="131"/>
      <c r="N29" s="132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8" ht="15.75" customHeight="1" x14ac:dyDescent="0.2">
      <c r="A30" s="167" t="s">
        <v>76</v>
      </c>
      <c r="B30" s="132"/>
      <c r="C30" s="168">
        <f>COUNTIF(C9:C23,"ML")</f>
        <v>0</v>
      </c>
      <c r="D30" s="131"/>
      <c r="E30" s="131"/>
      <c r="F30" s="132"/>
      <c r="G30" s="168">
        <f>COUNTIF(G9:G23,"ML")</f>
        <v>0</v>
      </c>
      <c r="H30" s="131"/>
      <c r="I30" s="131"/>
      <c r="J30" s="132"/>
      <c r="K30" s="168">
        <f>COUNTIF(K9:K23,"ML")</f>
        <v>0</v>
      </c>
      <c r="L30" s="131"/>
      <c r="M30" s="131"/>
      <c r="N30" s="132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8" ht="15.75" customHeight="1" x14ac:dyDescent="0.25">
      <c r="A31" s="2"/>
      <c r="B31" s="2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6"/>
      <c r="AB31" s="6"/>
    </row>
    <row r="32" spans="1:28" ht="15.75" customHeight="1" x14ac:dyDescent="0.25">
      <c r="A32" s="2"/>
      <c r="B32" s="2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6"/>
      <c r="AB32" s="6"/>
    </row>
    <row r="33" spans="1:28" ht="15.75" customHeight="1" x14ac:dyDescent="0.25">
      <c r="A33" s="2"/>
      <c r="B33" s="2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6"/>
      <c r="AB33" s="6"/>
    </row>
    <row r="34" spans="1:28" ht="15.75" customHeight="1" x14ac:dyDescent="0.25">
      <c r="A34" s="2"/>
      <c r="B34" s="2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6"/>
      <c r="AB34" s="6"/>
    </row>
    <row r="35" spans="1:28" ht="15.75" customHeight="1" x14ac:dyDescent="0.25">
      <c r="A35" s="2"/>
      <c r="B35" s="2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6"/>
      <c r="AB35" s="6"/>
    </row>
    <row r="36" spans="1:28" ht="15.75" customHeight="1" x14ac:dyDescent="0.25">
      <c r="A36" s="2"/>
      <c r="B36" s="2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6"/>
      <c r="AB36" s="6"/>
    </row>
    <row r="37" spans="1:28" ht="15.75" customHeight="1" x14ac:dyDescent="0.25">
      <c r="A37" s="2"/>
      <c r="B37" s="2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6"/>
      <c r="AB37" s="6"/>
    </row>
    <row r="38" spans="1:28" ht="15.75" customHeight="1" x14ac:dyDescent="0.25">
      <c r="A38" s="2"/>
      <c r="B38" s="2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6"/>
      <c r="AB38" s="6"/>
    </row>
    <row r="39" spans="1:28" ht="15.75" customHeight="1" x14ac:dyDescent="0.25">
      <c r="A39" s="2"/>
      <c r="B39" s="2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6"/>
      <c r="AB39" s="6"/>
    </row>
    <row r="40" spans="1:28" ht="15.75" customHeight="1" x14ac:dyDescent="0.25">
      <c r="A40" s="2"/>
      <c r="B40" s="2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6"/>
      <c r="AB40" s="6"/>
    </row>
    <row r="41" spans="1:28" ht="15.75" customHeight="1" x14ac:dyDescent="0.25">
      <c r="A41" s="2"/>
      <c r="B41" s="2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6"/>
      <c r="AB41" s="6"/>
    </row>
    <row r="42" spans="1:28" ht="15.75" customHeight="1" x14ac:dyDescent="0.25">
      <c r="A42" s="2"/>
      <c r="B42" s="2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6"/>
      <c r="AB42" s="6"/>
    </row>
    <row r="43" spans="1:28" ht="15.75" customHeight="1" x14ac:dyDescent="0.25">
      <c r="A43" s="2"/>
      <c r="B43" s="2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6"/>
      <c r="AB43" s="6"/>
    </row>
    <row r="44" spans="1:28" ht="15.75" customHeight="1" x14ac:dyDescent="0.25">
      <c r="A44" s="2"/>
      <c r="B44" s="2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6"/>
      <c r="AB44" s="6"/>
    </row>
    <row r="45" spans="1:28" ht="15.75" customHeight="1" x14ac:dyDescent="0.25">
      <c r="A45" s="2"/>
      <c r="B45" s="2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6"/>
      <c r="AB45" s="6"/>
    </row>
    <row r="46" spans="1:28" ht="15.75" customHeight="1" x14ac:dyDescent="0.25">
      <c r="A46" s="2"/>
      <c r="B46" s="2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6"/>
      <c r="AB46" s="6"/>
    </row>
    <row r="47" spans="1:28" ht="15.75" customHeight="1" x14ac:dyDescent="0.25">
      <c r="A47" s="2"/>
      <c r="B47" s="2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6"/>
      <c r="AB47" s="6"/>
    </row>
    <row r="48" spans="1:28" ht="15.75" customHeight="1" x14ac:dyDescent="0.25">
      <c r="A48" s="2"/>
      <c r="B48" s="2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6"/>
      <c r="AB48" s="6"/>
    </row>
    <row r="49" spans="1:28" ht="15.75" customHeight="1" x14ac:dyDescent="0.25">
      <c r="A49" s="2"/>
      <c r="B49" s="2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6"/>
      <c r="AB49" s="6"/>
    </row>
    <row r="50" spans="1:28" ht="15.75" customHeight="1" x14ac:dyDescent="0.25">
      <c r="A50" s="2"/>
      <c r="B50" s="2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6"/>
      <c r="AB50" s="6"/>
    </row>
    <row r="51" spans="1:28" ht="15.75" customHeight="1" x14ac:dyDescent="0.25">
      <c r="A51" s="2"/>
      <c r="B51" s="2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6"/>
      <c r="AB51" s="6"/>
    </row>
    <row r="52" spans="1:28" ht="15.75" customHeight="1" x14ac:dyDescent="0.25">
      <c r="A52" s="2"/>
      <c r="B52" s="2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6"/>
      <c r="AB52" s="6"/>
    </row>
    <row r="53" spans="1:28" ht="15.75" customHeight="1" x14ac:dyDescent="0.25">
      <c r="A53" s="2"/>
      <c r="B53" s="2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6"/>
      <c r="AB53" s="6"/>
    </row>
    <row r="54" spans="1:28" ht="15.75" customHeight="1" x14ac:dyDescent="0.25">
      <c r="A54" s="2"/>
      <c r="B54" s="2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6"/>
      <c r="AB54" s="6"/>
    </row>
    <row r="55" spans="1:28" ht="15.75" customHeight="1" x14ac:dyDescent="0.25">
      <c r="A55" s="2"/>
      <c r="B55" s="2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6"/>
      <c r="AB55" s="6"/>
    </row>
    <row r="56" spans="1:28" ht="15.75" customHeight="1" x14ac:dyDescent="0.25">
      <c r="A56" s="2"/>
      <c r="B56" s="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6"/>
      <c r="AB56" s="6"/>
    </row>
    <row r="57" spans="1:28" ht="15.75" customHeight="1" x14ac:dyDescent="0.25">
      <c r="A57" s="2"/>
      <c r="B57" s="2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6"/>
      <c r="AB57" s="6"/>
    </row>
    <row r="58" spans="1:28" ht="15.75" customHeight="1" x14ac:dyDescent="0.25">
      <c r="A58" s="2"/>
      <c r="B58" s="2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6"/>
      <c r="AB58" s="6"/>
    </row>
    <row r="59" spans="1:28" ht="15.75" customHeight="1" x14ac:dyDescent="0.25">
      <c r="A59" s="2"/>
      <c r="B59" s="2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6"/>
      <c r="AB59" s="6"/>
    </row>
    <row r="60" spans="1:28" ht="15.75" customHeight="1" x14ac:dyDescent="0.25">
      <c r="A60" s="2"/>
      <c r="B60" s="2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6"/>
      <c r="AB60" s="6"/>
    </row>
    <row r="61" spans="1:28" ht="15.75" customHeight="1" x14ac:dyDescent="0.25">
      <c r="A61" s="2"/>
      <c r="B61" s="2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6"/>
      <c r="AB61" s="6"/>
    </row>
    <row r="62" spans="1:28" ht="15.75" customHeight="1" x14ac:dyDescent="0.25">
      <c r="A62" s="2"/>
      <c r="B62" s="2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6"/>
      <c r="AB62" s="6"/>
    </row>
    <row r="63" spans="1:2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6"/>
      <c r="AB63" s="6"/>
    </row>
    <row r="64" spans="1:2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6"/>
      <c r="AB64" s="6"/>
    </row>
    <row r="65" spans="1:2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6"/>
      <c r="AB65" s="6"/>
    </row>
    <row r="66" spans="1:2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6"/>
      <c r="AB66" s="6"/>
    </row>
    <row r="67" spans="1:2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6"/>
      <c r="AB67" s="6"/>
    </row>
    <row r="68" spans="1:2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6"/>
      <c r="AB68" s="6"/>
    </row>
    <row r="69" spans="1:2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6"/>
      <c r="AB69" s="6"/>
    </row>
    <row r="70" spans="1:2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6"/>
      <c r="AB70" s="6"/>
    </row>
    <row r="71" spans="1:2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6"/>
      <c r="AB71" s="6"/>
    </row>
    <row r="72" spans="1:2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6"/>
      <c r="AB72" s="6"/>
    </row>
    <row r="73" spans="1:2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6"/>
      <c r="AB73" s="6"/>
    </row>
    <row r="74" spans="1:2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6"/>
      <c r="AB74" s="6"/>
    </row>
    <row r="75" spans="1:2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6"/>
      <c r="AB75" s="6"/>
    </row>
    <row r="76" spans="1:2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6"/>
      <c r="AB76" s="6"/>
    </row>
    <row r="77" spans="1:2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6"/>
      <c r="AB77" s="6"/>
    </row>
    <row r="78" spans="1:2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6"/>
      <c r="AB78" s="6"/>
    </row>
    <row r="79" spans="1:2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6"/>
      <c r="AB79" s="6"/>
    </row>
    <row r="80" spans="1:2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6"/>
      <c r="AB80" s="6"/>
    </row>
    <row r="81" spans="1:2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6"/>
      <c r="AB81" s="6"/>
    </row>
    <row r="82" spans="1:2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6"/>
      <c r="AB82" s="6"/>
    </row>
    <row r="83" spans="1:2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6"/>
      <c r="AB83" s="6"/>
    </row>
    <row r="84" spans="1:2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6"/>
      <c r="AB84" s="6"/>
    </row>
    <row r="85" spans="1:2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6"/>
      <c r="AB85" s="6"/>
    </row>
    <row r="86" spans="1:2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6"/>
      <c r="AB86" s="6"/>
    </row>
    <row r="87" spans="1:2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6"/>
      <c r="AB87" s="6"/>
    </row>
    <row r="88" spans="1:2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6"/>
      <c r="AB88" s="6"/>
    </row>
    <row r="89" spans="1:2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6"/>
      <c r="AB89" s="6"/>
    </row>
    <row r="90" spans="1:2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6"/>
      <c r="AB90" s="6"/>
    </row>
    <row r="91" spans="1:2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6"/>
      <c r="AB91" s="6"/>
    </row>
    <row r="92" spans="1:2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6"/>
      <c r="AB92" s="6"/>
    </row>
    <row r="93" spans="1:2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6"/>
      <c r="AB93" s="6"/>
    </row>
    <row r="94" spans="1:2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6"/>
      <c r="AB94" s="6"/>
    </row>
    <row r="95" spans="1:2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6"/>
      <c r="AB95" s="6"/>
    </row>
    <row r="96" spans="1:2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6"/>
      <c r="AB96" s="6"/>
    </row>
    <row r="97" spans="1:2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6"/>
      <c r="AB97" s="6"/>
    </row>
    <row r="98" spans="1:2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6"/>
      <c r="AB98" s="6"/>
    </row>
    <row r="99" spans="1:2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2"/>
    <row r="232" spans="1:28" ht="14.25" customHeight="1" x14ac:dyDescent="0.2"/>
    <row r="233" spans="1:28" ht="14.25" customHeight="1" x14ac:dyDescent="0.2"/>
    <row r="234" spans="1:28" ht="14.25" customHeight="1" x14ac:dyDescent="0.2"/>
    <row r="235" spans="1:28" ht="14.25" customHeight="1" x14ac:dyDescent="0.2"/>
    <row r="236" spans="1:28" ht="14.25" customHeight="1" x14ac:dyDescent="0.2"/>
    <row r="237" spans="1:28" ht="14.25" customHeight="1" x14ac:dyDescent="0.2"/>
    <row r="238" spans="1:28" ht="14.25" customHeight="1" x14ac:dyDescent="0.2"/>
    <row r="239" spans="1:28" ht="14.25" customHeight="1" x14ac:dyDescent="0.2"/>
    <row r="240" spans="1:2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28">
    <mergeCell ref="K26:N26"/>
    <mergeCell ref="K27:N27"/>
    <mergeCell ref="K28:N28"/>
    <mergeCell ref="K29:N29"/>
    <mergeCell ref="K30:N30"/>
    <mergeCell ref="A30:B30"/>
    <mergeCell ref="C30:F30"/>
    <mergeCell ref="G30:J30"/>
    <mergeCell ref="A26:B26"/>
    <mergeCell ref="C26:F26"/>
    <mergeCell ref="G26:J26"/>
    <mergeCell ref="A27:B27"/>
    <mergeCell ref="C27:F27"/>
    <mergeCell ref="G27:J27"/>
    <mergeCell ref="A28:B28"/>
    <mergeCell ref="C28:F28"/>
    <mergeCell ref="G28:J28"/>
    <mergeCell ref="A29:B29"/>
    <mergeCell ref="C29:F29"/>
    <mergeCell ref="G29:J29"/>
    <mergeCell ref="V7:W7"/>
    <mergeCell ref="A7:B7"/>
    <mergeCell ref="C7:D7"/>
    <mergeCell ref="E7:F7"/>
    <mergeCell ref="G7:H7"/>
    <mergeCell ref="I7:J7"/>
    <mergeCell ref="K7:L7"/>
    <mergeCell ref="M7:N7"/>
  </mergeCells>
  <pageMargins left="0.7" right="0.7" top="1.9312499999999999" bottom="1.9312499999999999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00"/>
  <sheetViews>
    <sheetView workbookViewId="0">
      <pane xSplit="2" ySplit="6" topLeftCell="AH7" activePane="bottomRight" state="frozen"/>
      <selection pane="topRight" activeCell="C1" sqref="C1"/>
      <selection pane="bottomLeft" activeCell="A7" sqref="A7"/>
      <selection pane="bottomRight" activeCell="A9" sqref="A9:B24"/>
    </sheetView>
  </sheetViews>
  <sheetFormatPr defaultColWidth="12.625" defaultRowHeight="15" customHeight="1" x14ac:dyDescent="0.2"/>
  <cols>
    <col min="1" max="1" width="10.875" customWidth="1"/>
    <col min="2" max="2" width="6.625" customWidth="1"/>
    <col min="3" max="3" width="8.625" customWidth="1"/>
    <col min="4" max="4" width="10.125" customWidth="1"/>
    <col min="5" max="6" width="14.75" customWidth="1"/>
    <col min="7" max="7" width="10" customWidth="1"/>
    <col min="8" max="8" width="9.5" customWidth="1"/>
    <col min="9" max="10" width="15.375" customWidth="1"/>
    <col min="11" max="11" width="11.625" customWidth="1"/>
    <col min="12" max="12" width="12.5" customWidth="1"/>
    <col min="13" max="14" width="14.875" customWidth="1"/>
    <col min="15" max="15" width="14.125" customWidth="1"/>
    <col min="16" max="16" width="11.875" customWidth="1"/>
    <col min="17" max="18" width="14.625" customWidth="1"/>
    <col min="19" max="20" width="10.25" customWidth="1"/>
    <col min="21" max="22" width="14.375" customWidth="1"/>
    <col min="23" max="23" width="8.375" customWidth="1"/>
    <col min="24" max="24" width="10.25" customWidth="1"/>
    <col min="25" max="26" width="15.25" customWidth="1"/>
    <col min="27" max="27" width="8.375" customWidth="1"/>
    <col min="28" max="28" width="11.75" customWidth="1"/>
    <col min="29" max="30" width="15.5" customWidth="1"/>
    <col min="31" max="31" width="9.625" customWidth="1"/>
    <col min="32" max="32" width="9.75" customWidth="1"/>
    <col min="33" max="34" width="16" customWidth="1"/>
    <col min="35" max="35" width="8.375" customWidth="1"/>
    <col min="36" max="36" width="10" customWidth="1"/>
    <col min="37" max="38" width="14.875" customWidth="1"/>
    <col min="39" max="39" width="15.125" customWidth="1"/>
    <col min="40" max="41" width="8.375" customWidth="1"/>
    <col min="42" max="57" width="13.875" customWidth="1"/>
  </cols>
  <sheetData>
    <row r="1" spans="1:57" ht="14.25" customHeight="1" x14ac:dyDescent="0.25">
      <c r="A1" s="1" t="s">
        <v>2</v>
      </c>
      <c r="B1" s="2"/>
      <c r="C1" s="3" t="s">
        <v>3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</row>
    <row r="2" spans="1:57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</row>
    <row r="3" spans="1:57" ht="14.25" customHeight="1" x14ac:dyDescent="0.25">
      <c r="A3" s="7" t="s">
        <v>10</v>
      </c>
      <c r="B3" s="2"/>
      <c r="C3" s="10" t="s">
        <v>15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</row>
    <row r="4" spans="1:5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</row>
    <row r="5" spans="1:57" ht="14.25" customHeight="1" x14ac:dyDescent="0.25">
      <c r="A5" s="2"/>
      <c r="B5" s="2"/>
      <c r="C5" s="2"/>
      <c r="D5" s="2"/>
      <c r="E5" s="2"/>
      <c r="F5" s="2"/>
      <c r="G5" s="2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</row>
    <row r="6" spans="1:5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</row>
    <row r="7" spans="1:57" ht="15" customHeight="1" x14ac:dyDescent="0.2">
      <c r="A7" s="172" t="s">
        <v>25</v>
      </c>
      <c r="B7" s="132"/>
      <c r="C7" s="172" t="s">
        <v>42</v>
      </c>
      <c r="D7" s="132"/>
      <c r="E7" s="165" t="s">
        <v>29</v>
      </c>
      <c r="F7" s="166"/>
      <c r="G7" s="172" t="s">
        <v>89</v>
      </c>
      <c r="H7" s="132"/>
      <c r="I7" s="165" t="s">
        <v>29</v>
      </c>
      <c r="J7" s="166"/>
      <c r="K7" s="172" t="s">
        <v>46</v>
      </c>
      <c r="L7" s="132"/>
      <c r="M7" s="165" t="s">
        <v>29</v>
      </c>
      <c r="N7" s="166"/>
      <c r="O7" s="172" t="s">
        <v>49</v>
      </c>
      <c r="P7" s="132"/>
      <c r="Q7" s="165" t="s">
        <v>29</v>
      </c>
      <c r="R7" s="166"/>
      <c r="S7" s="172" t="s">
        <v>51</v>
      </c>
      <c r="T7" s="132"/>
      <c r="U7" s="165" t="s">
        <v>29</v>
      </c>
      <c r="V7" s="166"/>
      <c r="W7" s="173" t="s">
        <v>54</v>
      </c>
      <c r="X7" s="132"/>
      <c r="Y7" s="165" t="s">
        <v>29</v>
      </c>
      <c r="Z7" s="166"/>
      <c r="AA7" s="172" t="s">
        <v>56</v>
      </c>
      <c r="AB7" s="132"/>
      <c r="AC7" s="165" t="s">
        <v>29</v>
      </c>
      <c r="AD7" s="166"/>
      <c r="AE7" s="172" t="s">
        <v>57</v>
      </c>
      <c r="AF7" s="132"/>
      <c r="AG7" s="165" t="s">
        <v>29</v>
      </c>
      <c r="AH7" s="166"/>
      <c r="AI7" s="172" t="s">
        <v>58</v>
      </c>
      <c r="AJ7" s="132"/>
      <c r="AK7" s="165" t="s">
        <v>29</v>
      </c>
      <c r="AL7" s="166"/>
      <c r="AM7" s="172" t="s">
        <v>168</v>
      </c>
      <c r="AN7" s="132"/>
      <c r="AO7" s="165" t="s">
        <v>29</v>
      </c>
      <c r="AP7" s="16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</row>
    <row r="8" spans="1:57" ht="15.75" customHeight="1" x14ac:dyDescent="0.25">
      <c r="A8" s="32" t="str">
        <f>CLEAN(BUUG!A8)</f>
        <v>#</v>
      </c>
      <c r="B8" s="32" t="s">
        <v>34</v>
      </c>
      <c r="C8" s="34" t="s">
        <v>35</v>
      </c>
      <c r="D8" s="34" t="s">
        <v>36</v>
      </c>
      <c r="E8" s="22" t="s">
        <v>35</v>
      </c>
      <c r="F8" s="22" t="s">
        <v>36</v>
      </c>
      <c r="G8" s="34" t="s">
        <v>35</v>
      </c>
      <c r="H8" s="34" t="s">
        <v>36</v>
      </c>
      <c r="I8" s="22" t="s">
        <v>35</v>
      </c>
      <c r="J8" s="22" t="s">
        <v>36</v>
      </c>
      <c r="K8" s="34" t="s">
        <v>35</v>
      </c>
      <c r="L8" s="34" t="s">
        <v>36</v>
      </c>
      <c r="M8" s="22" t="s">
        <v>35</v>
      </c>
      <c r="N8" s="22" t="s">
        <v>36</v>
      </c>
      <c r="O8" s="34" t="s">
        <v>35</v>
      </c>
      <c r="P8" s="34" t="s">
        <v>36</v>
      </c>
      <c r="Q8" s="22" t="s">
        <v>35</v>
      </c>
      <c r="R8" s="22" t="s">
        <v>36</v>
      </c>
      <c r="S8" s="34" t="s">
        <v>35</v>
      </c>
      <c r="T8" s="34" t="s">
        <v>36</v>
      </c>
      <c r="U8" s="22" t="s">
        <v>35</v>
      </c>
      <c r="V8" s="22" t="s">
        <v>36</v>
      </c>
      <c r="W8" s="34" t="s">
        <v>35</v>
      </c>
      <c r="X8" s="34" t="s">
        <v>36</v>
      </c>
      <c r="Y8" s="22" t="s">
        <v>35</v>
      </c>
      <c r="Z8" s="22" t="s">
        <v>36</v>
      </c>
      <c r="AA8" s="34" t="s">
        <v>35</v>
      </c>
      <c r="AB8" s="34" t="s">
        <v>36</v>
      </c>
      <c r="AC8" s="22" t="s">
        <v>35</v>
      </c>
      <c r="AD8" s="22" t="s">
        <v>36</v>
      </c>
      <c r="AE8" s="34" t="s">
        <v>35</v>
      </c>
      <c r="AF8" s="34" t="s">
        <v>36</v>
      </c>
      <c r="AG8" s="22" t="s">
        <v>35</v>
      </c>
      <c r="AH8" s="22" t="s">
        <v>36</v>
      </c>
      <c r="AI8" s="36" t="s">
        <v>35</v>
      </c>
      <c r="AJ8" s="36" t="s">
        <v>36</v>
      </c>
      <c r="AK8" s="22" t="s">
        <v>35</v>
      </c>
      <c r="AL8" s="22" t="s">
        <v>36</v>
      </c>
      <c r="AM8" s="36" t="s">
        <v>35</v>
      </c>
      <c r="AN8" s="36" t="s">
        <v>36</v>
      </c>
      <c r="AO8" s="22" t="s">
        <v>35</v>
      </c>
      <c r="AP8" s="22" t="s">
        <v>36</v>
      </c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</row>
    <row r="9" spans="1:57" ht="15" customHeight="1" x14ac:dyDescent="0.2">
      <c r="A9" s="96"/>
      <c r="B9" s="96"/>
      <c r="C9" s="90"/>
      <c r="D9" s="90"/>
      <c r="E9" s="97"/>
      <c r="F9" s="97"/>
      <c r="G9" s="90"/>
      <c r="H9" s="90"/>
      <c r="I9" s="97"/>
      <c r="J9" s="97"/>
      <c r="K9" s="90"/>
      <c r="L9" s="90"/>
      <c r="M9" s="97"/>
      <c r="N9" s="97"/>
      <c r="O9" s="90"/>
      <c r="P9" s="90"/>
      <c r="Q9" s="97"/>
      <c r="R9" s="97"/>
      <c r="S9" s="90"/>
      <c r="T9" s="90"/>
      <c r="U9" s="97"/>
      <c r="V9" s="97"/>
      <c r="W9" s="90"/>
      <c r="X9" s="90"/>
      <c r="Y9" s="97"/>
      <c r="Z9" s="97"/>
      <c r="AA9" s="90"/>
      <c r="AB9" s="90"/>
      <c r="AC9" s="97"/>
      <c r="AD9" s="97"/>
      <c r="AE9" s="90"/>
      <c r="AF9" s="90"/>
      <c r="AG9" s="97"/>
      <c r="AH9" s="97"/>
      <c r="AI9" s="90"/>
      <c r="AJ9" s="90"/>
      <c r="AK9" s="97"/>
      <c r="AL9" s="97"/>
      <c r="AM9" s="90"/>
      <c r="AN9" s="90"/>
      <c r="AO9" s="97"/>
      <c r="AP9" s="97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</row>
    <row r="10" spans="1:57" ht="15" customHeight="1" x14ac:dyDescent="0.2">
      <c r="A10" s="96"/>
      <c r="B10" s="96"/>
      <c r="C10" s="96"/>
      <c r="D10" s="92"/>
      <c r="E10" s="97"/>
      <c r="F10" s="97"/>
      <c r="G10" s="96"/>
      <c r="H10" s="96"/>
      <c r="I10" s="97"/>
      <c r="J10" s="97"/>
      <c r="K10" s="102"/>
      <c r="L10" s="96"/>
      <c r="M10" s="97"/>
      <c r="N10" s="97"/>
      <c r="O10" s="92"/>
      <c r="P10" s="92"/>
      <c r="Q10" s="97"/>
      <c r="R10" s="97"/>
      <c r="S10" s="90"/>
      <c r="T10" s="90"/>
      <c r="U10" s="97"/>
      <c r="V10" s="97"/>
      <c r="W10" s="96"/>
      <c r="X10" s="96"/>
      <c r="Y10" s="97"/>
      <c r="Z10" s="97"/>
      <c r="AA10" s="96"/>
      <c r="AB10" s="92"/>
      <c r="AC10" s="97"/>
      <c r="AD10" s="97"/>
      <c r="AE10" s="96"/>
      <c r="AF10" s="92"/>
      <c r="AG10" s="97"/>
      <c r="AH10" s="97"/>
      <c r="AI10" s="102"/>
      <c r="AJ10" s="92"/>
      <c r="AK10" s="97"/>
      <c r="AL10" s="97"/>
      <c r="AM10" s="102"/>
      <c r="AN10" s="92"/>
      <c r="AO10" s="97"/>
      <c r="AP10" s="97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</row>
    <row r="11" spans="1:57" ht="15" customHeight="1" x14ac:dyDescent="0.2">
      <c r="A11" s="96"/>
      <c r="B11" s="96"/>
      <c r="C11" s="96"/>
      <c r="D11" s="92"/>
      <c r="E11" s="97"/>
      <c r="F11" s="97"/>
      <c r="G11" s="96"/>
      <c r="H11" s="92"/>
      <c r="I11" s="97"/>
      <c r="J11" s="97"/>
      <c r="K11" s="92"/>
      <c r="L11" s="96"/>
      <c r="M11" s="97"/>
      <c r="N11" s="97"/>
      <c r="O11" s="90"/>
      <c r="P11" s="90"/>
      <c r="Q11" s="97"/>
      <c r="R11" s="97"/>
      <c r="S11" s="92"/>
      <c r="T11" s="92"/>
      <c r="U11" s="97"/>
      <c r="V11" s="97"/>
      <c r="W11" s="96"/>
      <c r="X11" s="92"/>
      <c r="Y11" s="97"/>
      <c r="Z11" s="97"/>
      <c r="AA11" s="96"/>
      <c r="AB11" s="92"/>
      <c r="AC11" s="97"/>
      <c r="AD11" s="97"/>
      <c r="AE11" s="92"/>
      <c r="AF11" s="92"/>
      <c r="AG11" s="97"/>
      <c r="AH11" s="97"/>
      <c r="AI11" s="92"/>
      <c r="AJ11" s="92"/>
      <c r="AK11" s="97"/>
      <c r="AL11" s="97"/>
      <c r="AM11" s="92"/>
      <c r="AN11" s="92"/>
      <c r="AO11" s="97"/>
      <c r="AP11" s="97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</row>
    <row r="12" spans="1:57" ht="15" customHeight="1" x14ac:dyDescent="0.2">
      <c r="A12" s="96"/>
      <c r="B12" s="96"/>
      <c r="C12" s="92"/>
      <c r="D12" s="92"/>
      <c r="E12" s="97"/>
      <c r="F12" s="97"/>
      <c r="G12" s="92"/>
      <c r="H12" s="92"/>
      <c r="I12" s="97"/>
      <c r="J12" s="97"/>
      <c r="K12" s="92"/>
      <c r="L12" s="92"/>
      <c r="M12" s="97"/>
      <c r="N12" s="97"/>
      <c r="O12" s="92"/>
      <c r="P12" s="92"/>
      <c r="Q12" s="97"/>
      <c r="R12" s="97"/>
      <c r="S12" s="92"/>
      <c r="T12" s="92"/>
      <c r="U12" s="97"/>
      <c r="V12" s="97"/>
      <c r="W12" s="90"/>
      <c r="X12" s="90"/>
      <c r="Y12" s="97"/>
      <c r="Z12" s="97"/>
      <c r="AA12" s="92"/>
      <c r="AB12" s="92"/>
      <c r="AC12" s="97"/>
      <c r="AD12" s="97"/>
      <c r="AE12" s="96"/>
      <c r="AF12" s="92"/>
      <c r="AG12" s="97"/>
      <c r="AH12" s="97"/>
      <c r="AI12" s="92"/>
      <c r="AJ12" s="92"/>
      <c r="AK12" s="97"/>
      <c r="AL12" s="97"/>
      <c r="AM12" s="92"/>
      <c r="AN12" s="92"/>
      <c r="AO12" s="97"/>
      <c r="AP12" s="97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</row>
    <row r="13" spans="1:57" ht="15" customHeight="1" x14ac:dyDescent="0.2">
      <c r="A13" s="96"/>
      <c r="B13" s="96"/>
      <c r="C13" s="96"/>
      <c r="D13" s="96"/>
      <c r="E13" s="97"/>
      <c r="F13" s="97"/>
      <c r="G13" s="96"/>
      <c r="H13" s="96"/>
      <c r="I13" s="97"/>
      <c r="J13" s="97"/>
      <c r="K13" s="92"/>
      <c r="L13" s="92"/>
      <c r="M13" s="97"/>
      <c r="N13" s="97"/>
      <c r="O13" s="92"/>
      <c r="P13" s="92"/>
      <c r="Q13" s="97"/>
      <c r="R13" s="97"/>
      <c r="S13" s="92"/>
      <c r="T13" s="92"/>
      <c r="U13" s="97"/>
      <c r="V13" s="97"/>
      <c r="W13" s="96"/>
      <c r="X13" s="92"/>
      <c r="Y13" s="97"/>
      <c r="Z13" s="97"/>
      <c r="AA13" s="96"/>
      <c r="AB13" s="92"/>
      <c r="AC13" s="97"/>
      <c r="AD13" s="97"/>
      <c r="AE13" s="96"/>
      <c r="AF13" s="96"/>
      <c r="AG13" s="97"/>
      <c r="AH13" s="97"/>
      <c r="AI13" s="90"/>
      <c r="AJ13" s="90"/>
      <c r="AK13" s="97"/>
      <c r="AL13" s="97"/>
      <c r="AM13" s="90"/>
      <c r="AN13" s="90"/>
      <c r="AO13" s="97"/>
      <c r="AP13" s="97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</row>
    <row r="14" spans="1:57" ht="15" customHeight="1" x14ac:dyDescent="0.2">
      <c r="A14" s="96"/>
      <c r="B14" s="96"/>
      <c r="C14" s="96"/>
      <c r="D14" s="92"/>
      <c r="E14" s="97"/>
      <c r="F14" s="97"/>
      <c r="G14" s="96"/>
      <c r="H14" s="96"/>
      <c r="I14" s="97"/>
      <c r="J14" s="97"/>
      <c r="K14" s="90"/>
      <c r="L14" s="90"/>
      <c r="M14" s="97"/>
      <c r="N14" s="97"/>
      <c r="O14" s="92"/>
      <c r="P14" s="92"/>
      <c r="Q14" s="97"/>
      <c r="R14" s="97"/>
      <c r="S14" s="92"/>
      <c r="T14" s="92"/>
      <c r="U14" s="97"/>
      <c r="V14" s="97"/>
      <c r="W14" s="92"/>
      <c r="X14" s="92"/>
      <c r="Y14" s="97"/>
      <c r="Z14" s="97"/>
      <c r="AA14" s="96"/>
      <c r="AB14" s="92"/>
      <c r="AC14" s="97"/>
      <c r="AD14" s="97"/>
      <c r="AE14" s="96"/>
      <c r="AF14" s="92"/>
      <c r="AG14" s="97"/>
      <c r="AH14" s="97"/>
      <c r="AI14" s="96"/>
      <c r="AJ14" s="92"/>
      <c r="AK14" s="97"/>
      <c r="AL14" s="97"/>
      <c r="AM14" s="96"/>
      <c r="AN14" s="92"/>
      <c r="AO14" s="97"/>
      <c r="AP14" s="97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</row>
    <row r="15" spans="1:57" ht="15" customHeight="1" x14ac:dyDescent="0.2">
      <c r="A15" s="96"/>
      <c r="B15" s="96"/>
      <c r="C15" s="103"/>
      <c r="D15" s="92"/>
      <c r="E15" s="97"/>
      <c r="F15" s="97"/>
      <c r="G15" s="96"/>
      <c r="H15" s="96"/>
      <c r="I15" s="97"/>
      <c r="J15" s="97"/>
      <c r="K15" s="92"/>
      <c r="L15" s="92"/>
      <c r="M15" s="97"/>
      <c r="N15" s="97"/>
      <c r="O15" s="96"/>
      <c r="P15" s="92"/>
      <c r="Q15" s="97"/>
      <c r="R15" s="97"/>
      <c r="S15" s="92"/>
      <c r="T15" s="92"/>
      <c r="U15" s="97"/>
      <c r="V15" s="97"/>
      <c r="W15" s="92"/>
      <c r="X15" s="92"/>
      <c r="Y15" s="97"/>
      <c r="Z15" s="97"/>
      <c r="AA15" s="90"/>
      <c r="AB15" s="90"/>
      <c r="AC15" s="97"/>
      <c r="AD15" s="97"/>
      <c r="AE15" s="103"/>
      <c r="AF15" s="92"/>
      <c r="AG15" s="97"/>
      <c r="AH15" s="97"/>
      <c r="AI15" s="92"/>
      <c r="AJ15" s="92"/>
      <c r="AK15" s="97"/>
      <c r="AL15" s="97"/>
      <c r="AM15" s="92"/>
      <c r="AN15" s="92"/>
      <c r="AO15" s="97"/>
      <c r="AP15" s="97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</row>
    <row r="16" spans="1:57" ht="15" customHeight="1" x14ac:dyDescent="0.2">
      <c r="A16" s="96"/>
      <c r="B16" s="96"/>
      <c r="C16" s="90"/>
      <c r="D16" s="90"/>
      <c r="E16" s="97"/>
      <c r="F16" s="97"/>
      <c r="G16" s="96"/>
      <c r="H16" s="96"/>
      <c r="I16" s="97"/>
      <c r="J16" s="97"/>
      <c r="K16" s="92"/>
      <c r="L16" s="92"/>
      <c r="M16" s="97"/>
      <c r="N16" s="97"/>
      <c r="O16" s="92"/>
      <c r="P16" s="92"/>
      <c r="Q16" s="97"/>
      <c r="R16" s="97"/>
      <c r="S16" s="96"/>
      <c r="T16" s="96"/>
      <c r="U16" s="97"/>
      <c r="V16" s="97"/>
      <c r="W16" s="96"/>
      <c r="X16" s="92"/>
      <c r="Y16" s="97"/>
      <c r="Z16" s="97"/>
      <c r="AA16" s="96"/>
      <c r="AB16" s="92"/>
      <c r="AC16" s="97"/>
      <c r="AD16" s="97"/>
      <c r="AE16" s="90"/>
      <c r="AF16" s="90"/>
      <c r="AG16" s="97"/>
      <c r="AH16" s="97"/>
      <c r="AI16" s="92"/>
      <c r="AJ16" s="92"/>
      <c r="AK16" s="97"/>
      <c r="AL16" s="97"/>
      <c r="AM16" s="92"/>
      <c r="AN16" s="92"/>
      <c r="AO16" s="97"/>
      <c r="AP16" s="97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</row>
    <row r="17" spans="1:57" ht="15" customHeight="1" x14ac:dyDescent="0.2">
      <c r="A17" s="96"/>
      <c r="B17" s="96"/>
      <c r="C17" s="103"/>
      <c r="D17" s="92"/>
      <c r="E17" s="97"/>
      <c r="F17" s="97"/>
      <c r="G17" s="96"/>
      <c r="H17" s="96"/>
      <c r="I17" s="97"/>
      <c r="J17" s="97"/>
      <c r="K17" s="92"/>
      <c r="L17" s="92"/>
      <c r="M17" s="97"/>
      <c r="N17" s="97"/>
      <c r="O17" s="92"/>
      <c r="P17" s="92"/>
      <c r="Q17" s="97"/>
      <c r="R17" s="97"/>
      <c r="S17" s="90"/>
      <c r="T17" s="90"/>
      <c r="U17" s="97"/>
      <c r="V17" s="97"/>
      <c r="W17" s="96"/>
      <c r="X17" s="96"/>
      <c r="Y17" s="97"/>
      <c r="Z17" s="97"/>
      <c r="AA17" s="103"/>
      <c r="AB17" s="92"/>
      <c r="AC17" s="97"/>
      <c r="AD17" s="97"/>
      <c r="AE17" s="90"/>
      <c r="AF17" s="90"/>
      <c r="AG17" s="97"/>
      <c r="AH17" s="97"/>
      <c r="AI17" s="92"/>
      <c r="AJ17" s="92"/>
      <c r="AK17" s="97"/>
      <c r="AL17" s="97"/>
      <c r="AM17" s="92"/>
      <c r="AN17" s="92"/>
      <c r="AO17" s="97"/>
      <c r="AP17" s="97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</row>
    <row r="18" spans="1:57" ht="15" customHeight="1" x14ac:dyDescent="0.2">
      <c r="A18" s="96"/>
      <c r="B18" s="96"/>
      <c r="C18" s="103"/>
      <c r="D18" s="92"/>
      <c r="E18" s="97"/>
      <c r="F18" s="97"/>
      <c r="G18" s="103"/>
      <c r="H18" s="92"/>
      <c r="I18" s="97"/>
      <c r="J18" s="97"/>
      <c r="K18" s="96"/>
      <c r="L18" s="96"/>
      <c r="M18" s="97"/>
      <c r="N18" s="97"/>
      <c r="O18" s="90"/>
      <c r="P18" s="90"/>
      <c r="Q18" s="97"/>
      <c r="R18" s="97"/>
      <c r="S18" s="92"/>
      <c r="T18" s="92"/>
      <c r="U18" s="97"/>
      <c r="V18" s="97"/>
      <c r="W18" s="103"/>
      <c r="X18" s="92"/>
      <c r="Y18" s="97"/>
      <c r="Z18" s="97"/>
      <c r="AA18" s="103"/>
      <c r="AB18" s="92"/>
      <c r="AC18" s="97"/>
      <c r="AD18" s="97"/>
      <c r="AE18" s="103"/>
      <c r="AF18" s="92"/>
      <c r="AG18" s="97"/>
      <c r="AH18" s="97"/>
      <c r="AI18" s="92"/>
      <c r="AJ18" s="92"/>
      <c r="AK18" s="97"/>
      <c r="AL18" s="97"/>
      <c r="AM18" s="92"/>
      <c r="AN18" s="92"/>
      <c r="AO18" s="97"/>
      <c r="AP18" s="97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</row>
    <row r="19" spans="1:57" ht="15" customHeight="1" x14ac:dyDescent="0.2">
      <c r="A19" s="96"/>
      <c r="B19" s="96"/>
      <c r="C19" s="103"/>
      <c r="D19" s="92"/>
      <c r="E19" s="97"/>
      <c r="F19" s="97"/>
      <c r="G19" s="103"/>
      <c r="H19" s="92"/>
      <c r="I19" s="97"/>
      <c r="J19" s="97"/>
      <c r="K19" s="92"/>
      <c r="L19" s="92"/>
      <c r="M19" s="97"/>
      <c r="N19" s="97"/>
      <c r="O19" s="92"/>
      <c r="P19" s="92"/>
      <c r="Q19" s="97"/>
      <c r="R19" s="97"/>
      <c r="S19" s="92"/>
      <c r="T19" s="92"/>
      <c r="U19" s="97"/>
      <c r="V19" s="97"/>
      <c r="W19" s="90"/>
      <c r="X19" s="90"/>
      <c r="Y19" s="97"/>
      <c r="Z19" s="97"/>
      <c r="AA19" s="96"/>
      <c r="AB19" s="96"/>
      <c r="AC19" s="97"/>
      <c r="AD19" s="97"/>
      <c r="AE19" s="103"/>
      <c r="AF19" s="92"/>
      <c r="AG19" s="97"/>
      <c r="AH19" s="97"/>
      <c r="AI19" s="92"/>
      <c r="AJ19" s="92"/>
      <c r="AK19" s="97"/>
      <c r="AL19" s="97"/>
      <c r="AM19" s="92"/>
      <c r="AN19" s="92"/>
      <c r="AO19" s="97"/>
      <c r="AP19" s="97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</row>
    <row r="20" spans="1:57" ht="15" customHeight="1" x14ac:dyDescent="0.2">
      <c r="A20" s="96"/>
      <c r="B20" s="96"/>
      <c r="C20" s="96"/>
      <c r="D20" s="96"/>
      <c r="E20" s="97"/>
      <c r="F20" s="97"/>
      <c r="G20" s="96"/>
      <c r="H20" s="96"/>
      <c r="I20" s="97"/>
      <c r="J20" s="97"/>
      <c r="K20" s="92"/>
      <c r="L20" s="92"/>
      <c r="M20" s="97"/>
      <c r="N20" s="97"/>
      <c r="O20" s="92"/>
      <c r="P20" s="92"/>
      <c r="Q20" s="97"/>
      <c r="R20" s="97"/>
      <c r="S20" s="92"/>
      <c r="T20" s="92"/>
      <c r="U20" s="97"/>
      <c r="V20" s="97"/>
      <c r="W20" s="103"/>
      <c r="X20" s="92"/>
      <c r="Y20" s="97"/>
      <c r="Z20" s="97"/>
      <c r="AA20" s="103"/>
      <c r="AB20" s="92"/>
      <c r="AC20" s="97"/>
      <c r="AD20" s="97"/>
      <c r="AE20" s="96"/>
      <c r="AF20" s="96"/>
      <c r="AG20" s="97"/>
      <c r="AH20" s="97"/>
      <c r="AI20" s="90"/>
      <c r="AJ20" s="90"/>
      <c r="AK20" s="97"/>
      <c r="AL20" s="97"/>
      <c r="AM20" s="90"/>
      <c r="AN20" s="90"/>
      <c r="AO20" s="97"/>
      <c r="AP20" s="97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</row>
    <row r="21" spans="1:57" ht="15.75" customHeight="1" x14ac:dyDescent="0.2">
      <c r="A21" s="96"/>
      <c r="B21" s="96"/>
      <c r="C21" s="103"/>
      <c r="D21" s="92"/>
      <c r="E21" s="97"/>
      <c r="F21" s="97"/>
      <c r="G21" s="103"/>
      <c r="H21" s="92"/>
      <c r="I21" s="97"/>
      <c r="J21" s="97"/>
      <c r="K21" s="90"/>
      <c r="L21" s="90"/>
      <c r="M21" s="97"/>
      <c r="N21" s="97"/>
      <c r="O21" s="92"/>
      <c r="P21" s="92"/>
      <c r="Q21" s="97"/>
      <c r="R21" s="97"/>
      <c r="S21" s="92"/>
      <c r="T21" s="92"/>
      <c r="U21" s="97"/>
      <c r="V21" s="97"/>
      <c r="W21" s="103"/>
      <c r="X21" s="92"/>
      <c r="Y21" s="97"/>
      <c r="Z21" s="97"/>
      <c r="AA21" s="103"/>
      <c r="AB21" s="92"/>
      <c r="AC21" s="97"/>
      <c r="AD21" s="97"/>
      <c r="AE21" s="103"/>
      <c r="AF21" s="92"/>
      <c r="AG21" s="97"/>
      <c r="AH21" s="97"/>
      <c r="AI21" s="92"/>
      <c r="AJ21" s="92"/>
      <c r="AK21" s="97"/>
      <c r="AL21" s="97"/>
      <c r="AM21" s="92"/>
      <c r="AN21" s="92"/>
      <c r="AO21" s="97"/>
      <c r="AP21" s="97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</row>
    <row r="22" spans="1:57" ht="15.75" customHeight="1" x14ac:dyDescent="0.2">
      <c r="A22" s="96"/>
      <c r="B22" s="96"/>
      <c r="C22" s="103"/>
      <c r="D22" s="92"/>
      <c r="E22" s="97"/>
      <c r="F22" s="97"/>
      <c r="G22" s="103"/>
      <c r="H22" s="92"/>
      <c r="I22" s="97"/>
      <c r="J22" s="97"/>
      <c r="K22" s="92"/>
      <c r="L22" s="92"/>
      <c r="M22" s="97"/>
      <c r="N22" s="97"/>
      <c r="O22" s="96"/>
      <c r="P22" s="96"/>
      <c r="Q22" s="97"/>
      <c r="R22" s="97"/>
      <c r="S22" s="92"/>
      <c r="T22" s="92"/>
      <c r="U22" s="97"/>
      <c r="V22" s="97"/>
      <c r="W22" s="103"/>
      <c r="X22" s="92"/>
      <c r="Y22" s="97"/>
      <c r="Z22" s="97"/>
      <c r="AA22" s="103"/>
      <c r="AB22" s="92"/>
      <c r="AC22" s="97"/>
      <c r="AD22" s="97"/>
      <c r="AE22" s="90"/>
      <c r="AF22" s="90"/>
      <c r="AG22" s="97"/>
      <c r="AH22" s="97"/>
      <c r="AI22" s="96"/>
      <c r="AJ22" s="96"/>
      <c r="AK22" s="97"/>
      <c r="AL22" s="97"/>
      <c r="AM22" s="96"/>
      <c r="AN22" s="96"/>
      <c r="AO22" s="97"/>
      <c r="AP22" s="97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</row>
    <row r="23" spans="1:57" ht="15.75" customHeight="1" x14ac:dyDescent="0.2">
      <c r="A23" s="96"/>
      <c r="B23" s="96"/>
      <c r="C23" s="103"/>
      <c r="D23" s="92"/>
      <c r="E23" s="97"/>
      <c r="F23" s="97"/>
      <c r="G23" s="103"/>
      <c r="H23" s="92"/>
      <c r="I23" s="97"/>
      <c r="J23" s="97"/>
      <c r="K23" s="92"/>
      <c r="L23" s="92"/>
      <c r="M23" s="97"/>
      <c r="N23" s="97"/>
      <c r="O23" s="92"/>
      <c r="P23" s="92"/>
      <c r="Q23" s="97"/>
      <c r="R23" s="97"/>
      <c r="S23" s="96"/>
      <c r="T23" s="96"/>
      <c r="U23" s="97"/>
      <c r="V23" s="97"/>
      <c r="W23" s="103"/>
      <c r="X23" s="92"/>
      <c r="Y23" s="97"/>
      <c r="Z23" s="97"/>
      <c r="AA23" s="90"/>
      <c r="AB23" s="90"/>
      <c r="AC23" s="97"/>
      <c r="AD23" s="97"/>
      <c r="AE23" s="90"/>
      <c r="AF23" s="90"/>
      <c r="AG23" s="97"/>
      <c r="AH23" s="97"/>
      <c r="AI23" s="92"/>
      <c r="AJ23" s="92"/>
      <c r="AK23" s="97"/>
      <c r="AL23" s="97"/>
      <c r="AM23" s="92"/>
      <c r="AN23" s="92"/>
      <c r="AO23" s="97"/>
      <c r="AP23" s="97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</row>
    <row r="24" spans="1:57" ht="15.75" customHeight="1" x14ac:dyDescent="0.2">
      <c r="A24" s="96"/>
      <c r="B24" s="96"/>
      <c r="C24" s="104"/>
      <c r="D24" s="105"/>
      <c r="E24" s="97"/>
      <c r="F24" s="97"/>
      <c r="G24" s="104"/>
      <c r="H24" s="105"/>
      <c r="I24" s="97"/>
      <c r="J24" s="97"/>
      <c r="K24" s="105"/>
      <c r="L24" s="105"/>
      <c r="M24" s="97"/>
      <c r="N24" s="97"/>
      <c r="O24" s="105"/>
      <c r="P24" s="105"/>
      <c r="Q24" s="97"/>
      <c r="R24" s="97"/>
      <c r="S24" s="105"/>
      <c r="T24" s="105"/>
      <c r="U24" s="97"/>
      <c r="V24" s="97"/>
      <c r="W24" s="105"/>
      <c r="X24" s="105"/>
      <c r="Y24" s="97"/>
      <c r="Z24" s="97"/>
      <c r="AA24" s="106"/>
      <c r="AB24" s="105"/>
      <c r="AC24" s="97"/>
      <c r="AD24" s="97"/>
      <c r="AE24" s="104"/>
      <c r="AF24" s="104"/>
      <c r="AG24" s="97"/>
      <c r="AH24" s="97"/>
      <c r="AI24" s="104"/>
      <c r="AJ24" s="105"/>
      <c r="AK24" s="97"/>
      <c r="AL24" s="97"/>
      <c r="AM24" s="104"/>
      <c r="AN24" s="105"/>
      <c r="AO24" s="97"/>
      <c r="AP24" s="97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</row>
    <row r="25" spans="1:57" ht="15.75" customHeight="1" x14ac:dyDescent="0.25">
      <c r="A25" s="2"/>
      <c r="B25" s="41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"/>
      <c r="Q25" s="24"/>
      <c r="R25" s="24"/>
      <c r="S25" s="24"/>
      <c r="T25" s="42"/>
      <c r="U25" s="42"/>
      <c r="V25" s="42"/>
      <c r="W25" s="24"/>
      <c r="X25" s="24"/>
      <c r="Y25" s="24"/>
      <c r="Z25" s="24"/>
      <c r="AA25" s="24"/>
      <c r="AB25" s="24"/>
      <c r="AC25" s="24"/>
      <c r="AD25" s="24"/>
      <c r="AE25" s="24"/>
      <c r="AF25" s="2"/>
      <c r="AG25" s="24"/>
      <c r="AH25" s="24"/>
      <c r="AI25" s="24"/>
      <c r="AJ25" s="24"/>
      <c r="AK25" s="24"/>
      <c r="AL25" s="24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</row>
    <row r="26" spans="1:57" ht="14.25" customHeight="1" x14ac:dyDescent="0.2">
      <c r="A26" s="169" t="s">
        <v>70</v>
      </c>
      <c r="B26" s="132"/>
      <c r="C26" s="170">
        <f>COUNT(C9:C24)</f>
        <v>0</v>
      </c>
      <c r="D26" s="131"/>
      <c r="E26" s="131"/>
      <c r="F26" s="132"/>
      <c r="G26" s="170">
        <f>COUNT(G9:G24)</f>
        <v>0</v>
      </c>
      <c r="H26" s="131"/>
      <c r="I26" s="131"/>
      <c r="J26" s="132"/>
      <c r="K26" s="170">
        <f>COUNT(K9:K24)</f>
        <v>0</v>
      </c>
      <c r="L26" s="131"/>
      <c r="M26" s="131"/>
      <c r="N26" s="132"/>
      <c r="O26" s="170">
        <f>COUNT(O9:O24)</f>
        <v>0</v>
      </c>
      <c r="P26" s="131"/>
      <c r="Q26" s="131"/>
      <c r="R26" s="132"/>
      <c r="S26" s="170">
        <f>COUNT(S9:S24)</f>
        <v>0</v>
      </c>
      <c r="T26" s="131"/>
      <c r="U26" s="131"/>
      <c r="V26" s="132"/>
      <c r="W26" s="170">
        <f>COUNT(W9:W24)</f>
        <v>0</v>
      </c>
      <c r="X26" s="131"/>
      <c r="Y26" s="131"/>
      <c r="Z26" s="132"/>
      <c r="AA26" s="170">
        <f>COUNT(AA9:AA24)</f>
        <v>0</v>
      </c>
      <c r="AB26" s="131"/>
      <c r="AC26" s="131"/>
      <c r="AD26" s="132"/>
      <c r="AE26" s="170">
        <f>COUNT(AE9:AE24)</f>
        <v>0</v>
      </c>
      <c r="AF26" s="131"/>
      <c r="AG26" s="131"/>
      <c r="AH26" s="132"/>
      <c r="AI26" s="170">
        <f>COUNT(AI9:AI24)</f>
        <v>0</v>
      </c>
      <c r="AJ26" s="131"/>
      <c r="AK26" s="131"/>
      <c r="AL26" s="132"/>
      <c r="AM26" s="170">
        <f>COUNT(AM9:AM24)</f>
        <v>0</v>
      </c>
      <c r="AN26" s="131"/>
      <c r="AO26" s="131"/>
      <c r="AP26" s="132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</row>
    <row r="27" spans="1:57" ht="15.75" customHeight="1" x14ac:dyDescent="0.2">
      <c r="A27" s="169" t="s">
        <v>30</v>
      </c>
      <c r="B27" s="132"/>
      <c r="C27" s="168">
        <f>COUNTIF(C9:C23,"Absent")</f>
        <v>0</v>
      </c>
      <c r="D27" s="131"/>
      <c r="E27" s="131"/>
      <c r="F27" s="132"/>
      <c r="G27" s="168">
        <f>COUNTIF(G9:G23,"Absent")</f>
        <v>0</v>
      </c>
      <c r="H27" s="131"/>
      <c r="I27" s="131"/>
      <c r="J27" s="132"/>
      <c r="K27" s="168">
        <f>COUNTIF(K9:K23,"Absent")</f>
        <v>0</v>
      </c>
      <c r="L27" s="131"/>
      <c r="M27" s="131"/>
      <c r="N27" s="132"/>
      <c r="O27" s="168">
        <f>COUNTIF(O9:O23,"Absent")</f>
        <v>0</v>
      </c>
      <c r="P27" s="131"/>
      <c r="Q27" s="131"/>
      <c r="R27" s="132"/>
      <c r="S27" s="168">
        <f>COUNTIF(S9:S23,"Absent")</f>
        <v>0</v>
      </c>
      <c r="T27" s="131"/>
      <c r="U27" s="131"/>
      <c r="V27" s="132"/>
      <c r="W27" s="168">
        <f>COUNTIF(W9:W23,"Absent")</f>
        <v>0</v>
      </c>
      <c r="X27" s="131"/>
      <c r="Y27" s="131"/>
      <c r="Z27" s="132"/>
      <c r="AA27" s="168">
        <f>COUNTIF(AA9:AA23,"Absent")</f>
        <v>0</v>
      </c>
      <c r="AB27" s="131"/>
      <c r="AC27" s="131"/>
      <c r="AD27" s="132"/>
      <c r="AE27" s="168">
        <f>COUNTIF(AE9:AE23,"Absent")</f>
        <v>0</v>
      </c>
      <c r="AF27" s="131"/>
      <c r="AG27" s="131"/>
      <c r="AH27" s="132"/>
      <c r="AI27" s="168">
        <f>COUNTIF(AI9:AI23,"Absent")</f>
        <v>0</v>
      </c>
      <c r="AJ27" s="131"/>
      <c r="AK27" s="131"/>
      <c r="AL27" s="132"/>
      <c r="AM27" s="168">
        <f>COUNTIF(AM9:AM23,"Absent")</f>
        <v>0</v>
      </c>
      <c r="AN27" s="131"/>
      <c r="AO27" s="131"/>
      <c r="AP27" s="132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</row>
    <row r="28" spans="1:57" ht="15.75" customHeight="1" x14ac:dyDescent="0.2">
      <c r="A28" s="167" t="s">
        <v>24</v>
      </c>
      <c r="B28" s="132"/>
      <c r="C28" s="168">
        <f>COUNTIF(C9:C23,"Leave")+COUNTIF(C9:C23,"VL")</f>
        <v>0</v>
      </c>
      <c r="D28" s="131"/>
      <c r="E28" s="131"/>
      <c r="F28" s="132"/>
      <c r="G28" s="168">
        <f>COUNTIF(G9:G23,"Leave")+COUNTIF(G9:G23,"VL")</f>
        <v>0</v>
      </c>
      <c r="H28" s="131"/>
      <c r="I28" s="131"/>
      <c r="J28" s="132"/>
      <c r="K28" s="168">
        <f>COUNTIF(K9:K23,"Leave")+COUNTIF(K9:K23,"VL")</f>
        <v>0</v>
      </c>
      <c r="L28" s="131"/>
      <c r="M28" s="131"/>
      <c r="N28" s="132"/>
      <c r="O28" s="168">
        <f>COUNTIF(O9:O23,"Leave")+COUNTIF(O9:O23,"VL")</f>
        <v>0</v>
      </c>
      <c r="P28" s="131"/>
      <c r="Q28" s="131"/>
      <c r="R28" s="132"/>
      <c r="S28" s="168">
        <f>COUNTIF(S9:S23,"Leave")+COUNTIF(S9:S23,"VL")</f>
        <v>0</v>
      </c>
      <c r="T28" s="131"/>
      <c r="U28" s="131"/>
      <c r="V28" s="132"/>
      <c r="W28" s="168">
        <f>COUNTIF(W9:W23,"Leave")+COUNTIF(W9:W23,"VL")</f>
        <v>0</v>
      </c>
      <c r="X28" s="131"/>
      <c r="Y28" s="131"/>
      <c r="Z28" s="132"/>
      <c r="AA28" s="168">
        <f>COUNTIF(AA9:AA23,"Leave")+COUNTIF(AA9:AA23,"VL")</f>
        <v>0</v>
      </c>
      <c r="AB28" s="131"/>
      <c r="AC28" s="131"/>
      <c r="AD28" s="132"/>
      <c r="AE28" s="168">
        <f>COUNTIF(AE9:AE23,"Leave")+COUNTIF(AE9:AE23,"VL")</f>
        <v>0</v>
      </c>
      <c r="AF28" s="131"/>
      <c r="AG28" s="131"/>
      <c r="AH28" s="132"/>
      <c r="AI28" s="168">
        <f>COUNTIF(AI9:AI23,"Leave")+COUNTIF(AI9:AI23,"VL")</f>
        <v>0</v>
      </c>
      <c r="AJ28" s="131"/>
      <c r="AK28" s="131"/>
      <c r="AL28" s="132"/>
      <c r="AM28" s="168">
        <f>COUNTIF(AM9:AM23,"Leave")+COUNTIF(AM9:AM23,"VL")</f>
        <v>0</v>
      </c>
      <c r="AN28" s="131"/>
      <c r="AO28" s="131"/>
      <c r="AP28" s="132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</row>
    <row r="29" spans="1:57" ht="15.75" customHeight="1" x14ac:dyDescent="0.2">
      <c r="A29" s="167" t="s">
        <v>26</v>
      </c>
      <c r="B29" s="132"/>
      <c r="C29" s="171">
        <f>COUNTIF(C9:C23,"SL")</f>
        <v>0</v>
      </c>
      <c r="D29" s="131"/>
      <c r="E29" s="131"/>
      <c r="F29" s="132"/>
      <c r="G29" s="171">
        <f>COUNTIF(G9:G23,"SL")</f>
        <v>0</v>
      </c>
      <c r="H29" s="131"/>
      <c r="I29" s="131"/>
      <c r="J29" s="132"/>
      <c r="K29" s="171">
        <f>COUNTIF(K9:K23,"SL")</f>
        <v>0</v>
      </c>
      <c r="L29" s="131"/>
      <c r="M29" s="131"/>
      <c r="N29" s="132"/>
      <c r="O29" s="171">
        <f>COUNTIF(O9:O23,"SL")</f>
        <v>0</v>
      </c>
      <c r="P29" s="131"/>
      <c r="Q29" s="131"/>
      <c r="R29" s="132"/>
      <c r="S29" s="171">
        <f>COUNTIF(S9:S23,"SL")</f>
        <v>0</v>
      </c>
      <c r="T29" s="131"/>
      <c r="U29" s="131"/>
      <c r="V29" s="132"/>
      <c r="W29" s="171">
        <f>COUNTIF(W9:W23,"SL")</f>
        <v>0</v>
      </c>
      <c r="X29" s="131"/>
      <c r="Y29" s="131"/>
      <c r="Z29" s="132"/>
      <c r="AA29" s="171">
        <f>COUNTIF(AA9:AA23,"SL")</f>
        <v>0</v>
      </c>
      <c r="AB29" s="131"/>
      <c r="AC29" s="131"/>
      <c r="AD29" s="132"/>
      <c r="AE29" s="171">
        <f>COUNTIF(AE9:AE23,"SL")</f>
        <v>0</v>
      </c>
      <c r="AF29" s="131"/>
      <c r="AG29" s="131"/>
      <c r="AH29" s="132"/>
      <c r="AI29" s="171">
        <f>COUNTIF(AI9:AI23,"SL")</f>
        <v>0</v>
      </c>
      <c r="AJ29" s="131"/>
      <c r="AK29" s="131"/>
      <c r="AL29" s="132"/>
      <c r="AM29" s="171">
        <f>COUNTIF(AM9:AM23,"SL")</f>
        <v>0</v>
      </c>
      <c r="AN29" s="131"/>
      <c r="AO29" s="131"/>
      <c r="AP29" s="132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</row>
    <row r="30" spans="1:57" ht="15.75" customHeight="1" x14ac:dyDescent="0.2">
      <c r="A30" s="167" t="s">
        <v>76</v>
      </c>
      <c r="B30" s="132"/>
      <c r="C30" s="168">
        <f>COUNTIF(C9:C23,"ML")</f>
        <v>0</v>
      </c>
      <c r="D30" s="131"/>
      <c r="E30" s="131"/>
      <c r="F30" s="132"/>
      <c r="G30" s="168">
        <f>COUNTIF(G9:G23,"ML")</f>
        <v>0</v>
      </c>
      <c r="H30" s="131"/>
      <c r="I30" s="131"/>
      <c r="J30" s="132"/>
      <c r="K30" s="168">
        <f>COUNTIF(K9:K23,"ML")</f>
        <v>0</v>
      </c>
      <c r="L30" s="131"/>
      <c r="M30" s="131"/>
      <c r="N30" s="132"/>
      <c r="O30" s="168">
        <f>COUNTIF(O9:O23,"ML")</f>
        <v>0</v>
      </c>
      <c r="P30" s="131"/>
      <c r="Q30" s="131"/>
      <c r="R30" s="132"/>
      <c r="S30" s="168">
        <f>COUNTIF(S9:S23,"ML")</f>
        <v>0</v>
      </c>
      <c r="T30" s="131"/>
      <c r="U30" s="131"/>
      <c r="V30" s="132"/>
      <c r="W30" s="168">
        <f>COUNTIF(W9:W23,"ML")</f>
        <v>0</v>
      </c>
      <c r="X30" s="131"/>
      <c r="Y30" s="131"/>
      <c r="Z30" s="132"/>
      <c r="AA30" s="168">
        <f>COUNTIF(AA9:AA23,"ML")</f>
        <v>0</v>
      </c>
      <c r="AB30" s="131"/>
      <c r="AC30" s="131"/>
      <c r="AD30" s="132"/>
      <c r="AE30" s="168">
        <f>COUNTIF(AE9:AE23,"ML")</f>
        <v>0</v>
      </c>
      <c r="AF30" s="131"/>
      <c r="AG30" s="131"/>
      <c r="AH30" s="132"/>
      <c r="AI30" s="168">
        <f>COUNTIF(AI9:AI23,"ML")</f>
        <v>0</v>
      </c>
      <c r="AJ30" s="131"/>
      <c r="AK30" s="131"/>
      <c r="AL30" s="132"/>
      <c r="AM30" s="168">
        <f>COUNTIF(AM9:AM23,"ML")</f>
        <v>0</v>
      </c>
      <c r="AN30" s="131"/>
      <c r="AO30" s="131"/>
      <c r="AP30" s="132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</row>
    <row r="31" spans="1:57" ht="15.75" customHeight="1" x14ac:dyDescent="0.25">
      <c r="A31" s="2"/>
      <c r="B31" s="2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</row>
    <row r="32" spans="1:57" ht="15.75" customHeight="1" x14ac:dyDescent="0.25">
      <c r="A32" s="2"/>
      <c r="B32" s="2"/>
      <c r="C32" s="24"/>
      <c r="D32" s="24"/>
      <c r="E32" s="24"/>
      <c r="F32" s="24"/>
      <c r="G32" s="24"/>
      <c r="H32" s="24"/>
      <c r="I32" s="24"/>
      <c r="J32" s="24"/>
      <c r="K32" s="24"/>
      <c r="L32" s="46"/>
      <c r="M32" s="46"/>
      <c r="N32" s="46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</row>
    <row r="33" spans="1:57" ht="15.75" customHeight="1" x14ac:dyDescent="0.25">
      <c r="A33" s="2"/>
      <c r="B33" s="2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</row>
    <row r="34" spans="1:57" ht="15.75" customHeight="1" x14ac:dyDescent="0.25">
      <c r="A34" s="2"/>
      <c r="B34" s="2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</row>
    <row r="35" spans="1:57" ht="15.75" customHeight="1" x14ac:dyDescent="0.25">
      <c r="A35" s="2"/>
      <c r="B35" s="2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</row>
    <row r="36" spans="1:57" ht="15.75" customHeight="1" x14ac:dyDescent="0.25">
      <c r="A36" s="2"/>
      <c r="B36" s="2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</row>
    <row r="37" spans="1:57" ht="15.75" customHeight="1" x14ac:dyDescent="0.25">
      <c r="A37" s="2"/>
      <c r="B37" s="2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</row>
    <row r="38" spans="1:57" ht="15.75" customHeight="1" x14ac:dyDescent="0.25">
      <c r="A38" s="2"/>
      <c r="B38" s="2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</row>
    <row r="39" spans="1:57" ht="15.75" customHeight="1" x14ac:dyDescent="0.25">
      <c r="A39" s="2"/>
      <c r="B39" s="2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</row>
    <row r="40" spans="1:57" ht="15.75" customHeight="1" x14ac:dyDescent="0.25">
      <c r="A40" s="2"/>
      <c r="B40" s="2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</row>
    <row r="41" spans="1:57" ht="15.75" customHeight="1" x14ac:dyDescent="0.25">
      <c r="A41" s="2"/>
      <c r="B41" s="2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</row>
    <row r="42" spans="1:57" ht="15.75" customHeight="1" x14ac:dyDescent="0.25">
      <c r="A42" s="2"/>
      <c r="B42" s="2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</row>
    <row r="43" spans="1:57" ht="15.75" customHeight="1" x14ac:dyDescent="0.25">
      <c r="A43" s="2"/>
      <c r="B43" s="2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</row>
    <row r="44" spans="1:57" ht="15.75" customHeight="1" x14ac:dyDescent="0.25">
      <c r="A44" s="2"/>
      <c r="B44" s="2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</row>
    <row r="45" spans="1:57" ht="15.75" customHeight="1" x14ac:dyDescent="0.25">
      <c r="A45" s="2"/>
      <c r="B45" s="2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</row>
    <row r="46" spans="1:57" ht="15.75" customHeight="1" x14ac:dyDescent="0.25">
      <c r="A46" s="2"/>
      <c r="B46" s="2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</row>
    <row r="47" spans="1:57" ht="15.75" customHeight="1" x14ac:dyDescent="0.25">
      <c r="A47" s="2"/>
      <c r="B47" s="2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</row>
    <row r="48" spans="1:57" ht="15.75" customHeight="1" x14ac:dyDescent="0.25">
      <c r="A48" s="2"/>
      <c r="B48" s="2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</row>
    <row r="49" spans="1:57" ht="15.75" customHeight="1" x14ac:dyDescent="0.25">
      <c r="A49" s="2"/>
      <c r="B49" s="2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</row>
    <row r="50" spans="1:57" ht="15.75" customHeight="1" x14ac:dyDescent="0.25">
      <c r="A50" s="2"/>
      <c r="B50" s="2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</row>
    <row r="51" spans="1:57" ht="15.75" customHeight="1" x14ac:dyDescent="0.25">
      <c r="A51" s="2"/>
      <c r="B51" s="2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</row>
    <row r="52" spans="1:57" ht="15.75" customHeight="1" x14ac:dyDescent="0.25">
      <c r="A52" s="2"/>
      <c r="B52" s="2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</row>
    <row r="53" spans="1:57" ht="15.75" customHeight="1" x14ac:dyDescent="0.25">
      <c r="A53" s="2"/>
      <c r="B53" s="2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</row>
    <row r="54" spans="1:57" ht="15.75" customHeight="1" x14ac:dyDescent="0.25">
      <c r="A54" s="2"/>
      <c r="B54" s="2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</row>
    <row r="55" spans="1:57" ht="15.75" customHeight="1" x14ac:dyDescent="0.25">
      <c r="A55" s="2"/>
      <c r="B55" s="2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</row>
    <row r="56" spans="1:57" ht="15.75" customHeight="1" x14ac:dyDescent="0.25">
      <c r="A56" s="2"/>
      <c r="B56" s="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</row>
    <row r="57" spans="1:57" ht="15.75" customHeight="1" x14ac:dyDescent="0.25">
      <c r="A57" s="2"/>
      <c r="B57" s="2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</row>
    <row r="58" spans="1:57" ht="15.75" customHeight="1" x14ac:dyDescent="0.25">
      <c r="A58" s="2"/>
      <c r="B58" s="2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</row>
    <row r="59" spans="1:57" ht="15.75" customHeight="1" x14ac:dyDescent="0.25">
      <c r="A59" s="2"/>
      <c r="B59" s="2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</row>
    <row r="60" spans="1:57" ht="15.75" customHeight="1" x14ac:dyDescent="0.25">
      <c r="A60" s="2"/>
      <c r="B60" s="2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</row>
    <row r="61" spans="1:57" ht="15.75" customHeight="1" x14ac:dyDescent="0.25">
      <c r="A61" s="2"/>
      <c r="B61" s="2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</row>
    <row r="62" spans="1:57" ht="15.75" customHeight="1" x14ac:dyDescent="0.25">
      <c r="A62" s="2"/>
      <c r="B62" s="2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</row>
    <row r="63" spans="1:5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</row>
    <row r="64" spans="1:5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</row>
    <row r="65" spans="1:5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</row>
    <row r="66" spans="1:5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</row>
    <row r="67" spans="1:5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</row>
    <row r="68" spans="1:5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</row>
    <row r="69" spans="1:5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</row>
    <row r="70" spans="1:5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</row>
    <row r="71" spans="1:5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</row>
    <row r="72" spans="1:5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</row>
    <row r="73" spans="1:5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</row>
    <row r="74" spans="1:5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</row>
    <row r="75" spans="1:5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</row>
    <row r="76" spans="1:5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</row>
    <row r="77" spans="1:5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</row>
    <row r="78" spans="1:5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</row>
    <row r="79" spans="1:5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</row>
    <row r="80" spans="1:5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</row>
    <row r="81" spans="1:5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</row>
    <row r="82" spans="1:5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</row>
    <row r="83" spans="1:5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</row>
    <row r="84" spans="1:5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</row>
    <row r="85" spans="1:5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</row>
    <row r="86" spans="1:5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</row>
    <row r="87" spans="1:5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</row>
    <row r="88" spans="1:5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</row>
    <row r="89" spans="1:5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</row>
    <row r="90" spans="1:5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</row>
    <row r="91" spans="1:5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</row>
    <row r="92" spans="1:5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</row>
    <row r="93" spans="1:5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</row>
    <row r="94" spans="1:5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</row>
    <row r="95" spans="1:5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</row>
    <row r="96" spans="1:5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</row>
    <row r="97" spans="1:5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</row>
    <row r="98" spans="1:5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</row>
    <row r="99" spans="1:5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</row>
    <row r="100" spans="1:5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</row>
    <row r="101" spans="1:5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</row>
    <row r="102" spans="1:5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</row>
    <row r="103" spans="1:5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</row>
    <row r="104" spans="1:5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</row>
    <row r="105" spans="1:5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</row>
    <row r="106" spans="1:5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</row>
    <row r="107" spans="1:5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</row>
    <row r="108" spans="1:5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</row>
    <row r="109" spans="1:5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</row>
    <row r="110" spans="1:5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</row>
    <row r="111" spans="1:5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</row>
    <row r="112" spans="1:5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</row>
    <row r="113" spans="1:5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</row>
    <row r="114" spans="1:5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</row>
    <row r="115" spans="1:5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</row>
    <row r="116" spans="1:5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</row>
    <row r="117" spans="1:5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</row>
    <row r="118" spans="1:5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</row>
    <row r="119" spans="1:5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</row>
    <row r="120" spans="1:5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</row>
    <row r="121" spans="1:5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</row>
    <row r="122" spans="1:5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</row>
    <row r="123" spans="1:5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</row>
    <row r="124" spans="1:5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</row>
    <row r="125" spans="1:5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</row>
    <row r="126" spans="1:5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</row>
    <row r="127" spans="1:5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</row>
    <row r="128" spans="1:5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</row>
    <row r="129" spans="1:5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</row>
    <row r="130" spans="1:5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</row>
    <row r="131" spans="1:5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</row>
    <row r="132" spans="1:5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</row>
    <row r="133" spans="1:5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</row>
    <row r="134" spans="1:5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</row>
    <row r="135" spans="1:5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</row>
    <row r="136" spans="1:5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</row>
    <row r="137" spans="1:5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</row>
    <row r="138" spans="1:5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</row>
    <row r="139" spans="1:5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</row>
    <row r="140" spans="1:5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</row>
    <row r="141" spans="1:5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</row>
    <row r="142" spans="1:5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</row>
    <row r="143" spans="1:5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</row>
    <row r="144" spans="1:5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</row>
    <row r="145" spans="1:5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</row>
    <row r="146" spans="1:5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</row>
    <row r="147" spans="1:5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</row>
    <row r="148" spans="1:5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</row>
    <row r="149" spans="1:5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</row>
    <row r="150" spans="1:5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</row>
    <row r="151" spans="1:5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</row>
    <row r="152" spans="1:5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</row>
    <row r="153" spans="1:5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</row>
    <row r="154" spans="1:5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</row>
    <row r="155" spans="1:5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</row>
    <row r="156" spans="1:5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</row>
    <row r="157" spans="1:5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</row>
    <row r="158" spans="1:5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</row>
    <row r="159" spans="1:5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</row>
    <row r="160" spans="1:5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</row>
    <row r="161" spans="1:5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</row>
    <row r="162" spans="1:5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</row>
    <row r="163" spans="1:5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</row>
    <row r="164" spans="1:5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</row>
    <row r="165" spans="1:5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</row>
    <row r="166" spans="1:5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</row>
    <row r="167" spans="1:5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</row>
    <row r="168" spans="1:5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</row>
    <row r="169" spans="1:5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</row>
    <row r="170" spans="1:5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</row>
    <row r="171" spans="1:5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</row>
    <row r="172" spans="1:5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</row>
    <row r="173" spans="1:5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</row>
    <row r="174" spans="1:5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</row>
    <row r="175" spans="1:5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</row>
    <row r="176" spans="1:5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</row>
    <row r="177" spans="1:5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</row>
    <row r="178" spans="1:5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</row>
    <row r="179" spans="1:5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</row>
    <row r="180" spans="1:5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</row>
    <row r="181" spans="1:5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</row>
    <row r="182" spans="1:5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</row>
    <row r="183" spans="1:5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</row>
    <row r="184" spans="1:5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</row>
    <row r="185" spans="1:5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</row>
    <row r="186" spans="1:5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</row>
    <row r="187" spans="1:5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</row>
    <row r="188" spans="1:5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</row>
    <row r="189" spans="1:5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</row>
    <row r="190" spans="1:5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</row>
    <row r="191" spans="1:5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</row>
    <row r="192" spans="1:5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</row>
    <row r="193" spans="1:5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</row>
    <row r="194" spans="1:5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</row>
    <row r="195" spans="1:5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</row>
    <row r="196" spans="1:5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</row>
    <row r="197" spans="1:5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</row>
    <row r="198" spans="1:5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</row>
    <row r="199" spans="1:5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</row>
    <row r="200" spans="1:5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</row>
    <row r="201" spans="1:5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</row>
    <row r="202" spans="1:5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</row>
    <row r="203" spans="1:5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</row>
    <row r="204" spans="1:5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</row>
    <row r="205" spans="1:5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</row>
    <row r="206" spans="1:5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</row>
    <row r="207" spans="1:5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</row>
    <row r="208" spans="1:5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</row>
    <row r="209" spans="1:5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</row>
    <row r="210" spans="1:5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</row>
    <row r="211" spans="1:5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</row>
    <row r="212" spans="1:5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</row>
    <row r="213" spans="1:5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</row>
    <row r="214" spans="1:5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</row>
    <row r="215" spans="1:5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</row>
    <row r="216" spans="1:5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</row>
    <row r="217" spans="1:5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</row>
    <row r="218" spans="1:5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</row>
    <row r="219" spans="1:5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</row>
    <row r="220" spans="1:5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</row>
    <row r="221" spans="1:5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</row>
    <row r="222" spans="1:5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</row>
    <row r="223" spans="1:5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</row>
    <row r="224" spans="1:5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</row>
    <row r="225" spans="1:5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</row>
    <row r="226" spans="1:5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</row>
    <row r="227" spans="1:5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</row>
    <row r="228" spans="1:5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</row>
    <row r="229" spans="1:5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</row>
    <row r="230" spans="1:5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</row>
    <row r="231" spans="1:57" ht="14.25" customHeight="1" x14ac:dyDescent="0.2"/>
    <row r="232" spans="1:57" ht="14.25" customHeight="1" x14ac:dyDescent="0.2"/>
    <row r="233" spans="1:57" ht="14.25" customHeight="1" x14ac:dyDescent="0.2"/>
    <row r="234" spans="1:57" ht="14.25" customHeight="1" x14ac:dyDescent="0.2"/>
    <row r="235" spans="1:57" ht="14.25" customHeight="1" x14ac:dyDescent="0.2"/>
    <row r="236" spans="1:57" ht="14.25" customHeight="1" x14ac:dyDescent="0.2"/>
    <row r="237" spans="1:57" ht="14.25" customHeight="1" x14ac:dyDescent="0.2"/>
    <row r="238" spans="1:57" ht="14.25" customHeight="1" x14ac:dyDescent="0.2"/>
    <row r="239" spans="1:57" ht="14.25" customHeight="1" x14ac:dyDescent="0.2"/>
    <row r="240" spans="1:5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76">
    <mergeCell ref="AM29:AP29"/>
    <mergeCell ref="AM30:AP30"/>
    <mergeCell ref="AM26:AP26"/>
    <mergeCell ref="AM27:AP27"/>
    <mergeCell ref="AM28:AP28"/>
    <mergeCell ref="AM7:AN7"/>
    <mergeCell ref="AO7:AP7"/>
    <mergeCell ref="AA27:AD27"/>
    <mergeCell ref="AE27:AH27"/>
    <mergeCell ref="AI27:AL27"/>
    <mergeCell ref="AC7:AD7"/>
    <mergeCell ref="AE7:AF7"/>
    <mergeCell ref="AG7:AH7"/>
    <mergeCell ref="AI7:AJ7"/>
    <mergeCell ref="AK7:AL7"/>
    <mergeCell ref="A27:B27"/>
    <mergeCell ref="C27:F27"/>
    <mergeCell ref="G27:J27"/>
    <mergeCell ref="K27:N27"/>
    <mergeCell ref="O27:R27"/>
    <mergeCell ref="S27:V27"/>
    <mergeCell ref="W27:Z27"/>
    <mergeCell ref="AA26:AD26"/>
    <mergeCell ref="AE26:AH26"/>
    <mergeCell ref="AI26:AL26"/>
    <mergeCell ref="S26:V26"/>
    <mergeCell ref="W26:Z26"/>
    <mergeCell ref="A26:B26"/>
    <mergeCell ref="C26:F26"/>
    <mergeCell ref="G26:J26"/>
    <mergeCell ref="K26:N26"/>
    <mergeCell ref="O26:R26"/>
    <mergeCell ref="Y7:Z7"/>
    <mergeCell ref="AA7:AB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AA30:AD30"/>
    <mergeCell ref="AE30:AH30"/>
    <mergeCell ref="AI30:AL30"/>
    <mergeCell ref="A30:B30"/>
    <mergeCell ref="C30:F30"/>
    <mergeCell ref="G30:J30"/>
    <mergeCell ref="K30:N30"/>
    <mergeCell ref="O30:R30"/>
    <mergeCell ref="S30:V30"/>
    <mergeCell ref="W30:Z30"/>
    <mergeCell ref="AA29:AD29"/>
    <mergeCell ref="AE29:AH29"/>
    <mergeCell ref="AI29:AL29"/>
    <mergeCell ref="A29:B29"/>
    <mergeCell ref="C29:F29"/>
    <mergeCell ref="G29:J29"/>
    <mergeCell ref="K29:N29"/>
    <mergeCell ref="O29:R29"/>
    <mergeCell ref="S29:V29"/>
    <mergeCell ref="W29:Z29"/>
    <mergeCell ref="AA28:AD28"/>
    <mergeCell ref="AE28:AH28"/>
    <mergeCell ref="AI28:AL28"/>
    <mergeCell ref="A28:B28"/>
    <mergeCell ref="C28:F28"/>
    <mergeCell ref="G28:J28"/>
    <mergeCell ref="K28:N28"/>
    <mergeCell ref="O28:R28"/>
    <mergeCell ref="S28:V28"/>
    <mergeCell ref="W28:Z28"/>
  </mergeCells>
  <pageMargins left="0.7" right="0.7" top="1.9312499999999999" bottom="1.9312499999999999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000"/>
  <sheetViews>
    <sheetView workbookViewId="0">
      <pane xSplit="2" topLeftCell="P1" activePane="topRight" state="frozen"/>
      <selection pane="topRight" activeCell="A9" sqref="A9:B24"/>
    </sheetView>
  </sheetViews>
  <sheetFormatPr defaultColWidth="12.625" defaultRowHeight="15" customHeight="1" x14ac:dyDescent="0.2"/>
  <cols>
    <col min="1" max="1" width="10.125" customWidth="1"/>
    <col min="2" max="2" width="6.625" customWidth="1"/>
    <col min="3" max="3" width="9.875" customWidth="1"/>
    <col min="4" max="4" width="10.125" customWidth="1"/>
    <col min="5" max="6" width="13" customWidth="1"/>
    <col min="7" max="7" width="10.125" customWidth="1"/>
    <col min="8" max="8" width="10" customWidth="1"/>
    <col min="9" max="10" width="11.75" customWidth="1"/>
    <col min="11" max="11" width="11" customWidth="1"/>
    <col min="12" max="12" width="13.25" customWidth="1"/>
    <col min="13" max="14" width="11.75" customWidth="1"/>
    <col min="15" max="15" width="12.25" customWidth="1"/>
    <col min="16" max="18" width="11.75" customWidth="1"/>
    <col min="19" max="19" width="10.75" customWidth="1"/>
    <col min="20" max="20" width="10.875" customWidth="1"/>
    <col min="21" max="22" width="11.75" customWidth="1"/>
    <col min="23" max="32" width="8.375" customWidth="1"/>
    <col min="33" max="40" width="13.875" customWidth="1"/>
  </cols>
  <sheetData>
    <row r="1" spans="1:40" ht="14.25" customHeight="1" x14ac:dyDescent="0.25">
      <c r="A1" s="1" t="s">
        <v>1</v>
      </c>
      <c r="B1" s="2"/>
      <c r="C1" s="3" t="s">
        <v>4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</row>
    <row r="2" spans="1:40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</row>
    <row r="3" spans="1:40" ht="14.25" customHeight="1" x14ac:dyDescent="0.25">
      <c r="A3" s="7" t="s">
        <v>10</v>
      </c>
      <c r="B3" s="2"/>
      <c r="C3" s="10" t="s">
        <v>17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</row>
    <row r="4" spans="1:40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</row>
    <row r="5" spans="1:40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</row>
    <row r="6" spans="1:40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</row>
    <row r="7" spans="1:40" ht="15" customHeight="1" x14ac:dyDescent="0.25">
      <c r="A7" s="164" t="s">
        <v>25</v>
      </c>
      <c r="B7" s="132"/>
      <c r="C7" s="164" t="s">
        <v>41</v>
      </c>
      <c r="D7" s="132"/>
      <c r="E7" s="165" t="s">
        <v>29</v>
      </c>
      <c r="F7" s="166"/>
      <c r="G7" s="164" t="s">
        <v>44</v>
      </c>
      <c r="H7" s="132"/>
      <c r="I7" s="165" t="s">
        <v>29</v>
      </c>
      <c r="J7" s="166"/>
      <c r="K7" s="164" t="s">
        <v>45</v>
      </c>
      <c r="L7" s="132"/>
      <c r="M7" s="165" t="s">
        <v>29</v>
      </c>
      <c r="N7" s="166"/>
      <c r="O7" s="164" t="s">
        <v>52</v>
      </c>
      <c r="P7" s="132"/>
      <c r="Q7" s="165" t="s">
        <v>29</v>
      </c>
      <c r="R7" s="166"/>
      <c r="S7" s="164" t="s">
        <v>55</v>
      </c>
      <c r="T7" s="132"/>
      <c r="U7" s="165" t="s">
        <v>29</v>
      </c>
      <c r="V7" s="166"/>
      <c r="W7" s="163"/>
      <c r="X7" s="125"/>
      <c r="Y7" s="163"/>
      <c r="Z7" s="125"/>
      <c r="AA7" s="163"/>
      <c r="AB7" s="125"/>
      <c r="AC7" s="163"/>
      <c r="AD7" s="125"/>
      <c r="AE7" s="2"/>
      <c r="AF7" s="2"/>
      <c r="AG7" s="6"/>
      <c r="AH7" s="6"/>
      <c r="AI7" s="6"/>
      <c r="AJ7" s="6"/>
      <c r="AK7" s="6"/>
      <c r="AL7" s="6"/>
      <c r="AM7" s="6"/>
      <c r="AN7" s="6"/>
    </row>
    <row r="8" spans="1:40" ht="15" customHeight="1" x14ac:dyDescent="0.25">
      <c r="A8" s="31" t="str">
        <f>CLEAN(BUUG!A8)</f>
        <v>#</v>
      </c>
      <c r="B8" s="31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19"/>
      <c r="X8" s="19"/>
      <c r="Y8" s="19"/>
      <c r="Z8" s="19"/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</row>
    <row r="9" spans="1:40" ht="14.25" customHeight="1" x14ac:dyDescent="0.2">
      <c r="A9" s="96"/>
      <c r="B9" s="96"/>
      <c r="C9" s="95"/>
      <c r="D9" s="93"/>
      <c r="E9" s="97"/>
      <c r="F9" s="97"/>
      <c r="G9" s="95"/>
      <c r="H9" s="93"/>
      <c r="I9" s="97"/>
      <c r="J9" s="97"/>
      <c r="K9" s="95"/>
      <c r="L9" s="93"/>
      <c r="M9" s="97"/>
      <c r="N9" s="97"/>
      <c r="O9" s="95"/>
      <c r="P9" s="93"/>
      <c r="Q9" s="97"/>
      <c r="R9" s="97"/>
      <c r="S9" s="107"/>
      <c r="T9" s="107"/>
      <c r="U9" s="97"/>
      <c r="V9" s="97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6"/>
      <c r="AH9" s="6"/>
      <c r="AI9" s="6"/>
      <c r="AJ9" s="6"/>
      <c r="AK9" s="6"/>
      <c r="AL9" s="6"/>
      <c r="AM9" s="6"/>
      <c r="AN9" s="6"/>
    </row>
    <row r="10" spans="1:40" ht="14.25" customHeight="1" x14ac:dyDescent="0.2">
      <c r="A10" s="96"/>
      <c r="B10" s="96"/>
      <c r="C10" s="95"/>
      <c r="D10" s="93"/>
      <c r="E10" s="97"/>
      <c r="F10" s="97"/>
      <c r="G10" s="95"/>
      <c r="H10" s="93"/>
      <c r="I10" s="97"/>
      <c r="J10" s="97"/>
      <c r="K10" s="93"/>
      <c r="L10" s="93"/>
      <c r="M10" s="97"/>
      <c r="N10" s="97"/>
      <c r="O10" s="107"/>
      <c r="P10" s="107"/>
      <c r="Q10" s="97"/>
      <c r="R10" s="97"/>
      <c r="S10" s="93"/>
      <c r="T10" s="93"/>
      <c r="U10" s="97"/>
      <c r="V10" s="97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6"/>
      <c r="AH10" s="6"/>
      <c r="AI10" s="6"/>
      <c r="AJ10" s="6"/>
      <c r="AK10" s="6"/>
      <c r="AL10" s="6"/>
      <c r="AM10" s="6"/>
      <c r="AN10" s="6"/>
    </row>
    <row r="11" spans="1:40" ht="14.25" customHeight="1" x14ac:dyDescent="0.2">
      <c r="A11" s="96"/>
      <c r="B11" s="96"/>
      <c r="C11" s="95"/>
      <c r="D11" s="93"/>
      <c r="E11" s="97"/>
      <c r="F11" s="97"/>
      <c r="G11" s="95"/>
      <c r="H11" s="93"/>
      <c r="I11" s="97"/>
      <c r="J11" s="97"/>
      <c r="K11" s="95"/>
      <c r="L11" s="93"/>
      <c r="M11" s="97"/>
      <c r="N11" s="97"/>
      <c r="O11" s="107"/>
      <c r="P11" s="107"/>
      <c r="Q11" s="97"/>
      <c r="R11" s="97"/>
      <c r="S11" s="107"/>
      <c r="T11" s="93"/>
      <c r="U11" s="97"/>
      <c r="V11" s="97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6"/>
      <c r="AH11" s="6"/>
      <c r="AI11" s="6"/>
      <c r="AJ11" s="6"/>
      <c r="AK11" s="6"/>
      <c r="AL11" s="6"/>
      <c r="AM11" s="6"/>
      <c r="AN11" s="6"/>
    </row>
    <row r="12" spans="1:40" ht="14.25" customHeight="1" x14ac:dyDescent="0.2">
      <c r="A12" s="96"/>
      <c r="B12" s="96"/>
      <c r="C12" s="95"/>
      <c r="D12" s="93"/>
      <c r="E12" s="97"/>
      <c r="F12" s="97"/>
      <c r="G12" s="95"/>
      <c r="H12" s="93"/>
      <c r="I12" s="97"/>
      <c r="J12" s="97"/>
      <c r="K12" s="93"/>
      <c r="L12" s="93"/>
      <c r="M12" s="97"/>
      <c r="N12" s="97"/>
      <c r="O12" s="107"/>
      <c r="P12" s="107"/>
      <c r="Q12" s="97"/>
      <c r="R12" s="97"/>
      <c r="S12" s="95"/>
      <c r="T12" s="93"/>
      <c r="U12" s="97"/>
      <c r="V12" s="97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6"/>
      <c r="AH12" s="6"/>
      <c r="AI12" s="6"/>
      <c r="AJ12" s="6"/>
      <c r="AK12" s="6"/>
      <c r="AL12" s="6"/>
      <c r="AM12" s="6"/>
      <c r="AN12" s="6"/>
    </row>
    <row r="13" spans="1:40" ht="14.25" customHeight="1" x14ac:dyDescent="0.2">
      <c r="A13" s="96"/>
      <c r="B13" s="96"/>
      <c r="C13" s="95"/>
      <c r="D13" s="93"/>
      <c r="E13" s="97"/>
      <c r="F13" s="97"/>
      <c r="G13" s="95"/>
      <c r="H13" s="93"/>
      <c r="I13" s="97"/>
      <c r="J13" s="97"/>
      <c r="K13" s="107"/>
      <c r="L13" s="107"/>
      <c r="M13" s="97"/>
      <c r="N13" s="97"/>
      <c r="O13" s="107"/>
      <c r="P13" s="107"/>
      <c r="Q13" s="97"/>
      <c r="R13" s="97"/>
      <c r="S13" s="107"/>
      <c r="T13" s="107"/>
      <c r="U13" s="97"/>
      <c r="V13" s="97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6"/>
      <c r="AH13" s="6"/>
      <c r="AI13" s="6"/>
      <c r="AJ13" s="6"/>
      <c r="AK13" s="6"/>
      <c r="AL13" s="6"/>
      <c r="AM13" s="6"/>
      <c r="AN13" s="6"/>
    </row>
    <row r="14" spans="1:40" ht="14.25" customHeight="1" x14ac:dyDescent="0.2">
      <c r="A14" s="96"/>
      <c r="B14" s="96"/>
      <c r="C14" s="95"/>
      <c r="D14" s="93"/>
      <c r="E14" s="97"/>
      <c r="F14" s="97"/>
      <c r="G14" s="95"/>
      <c r="H14" s="93"/>
      <c r="I14" s="97"/>
      <c r="J14" s="97"/>
      <c r="K14" s="93"/>
      <c r="L14" s="93"/>
      <c r="M14" s="97"/>
      <c r="N14" s="97"/>
      <c r="O14" s="94"/>
      <c r="P14" s="94"/>
      <c r="Q14" s="97"/>
      <c r="R14" s="97"/>
      <c r="S14" s="107"/>
      <c r="T14" s="107"/>
      <c r="U14" s="97"/>
      <c r="V14" s="97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6"/>
      <c r="AH14" s="6"/>
      <c r="AI14" s="6"/>
      <c r="AJ14" s="6"/>
      <c r="AK14" s="6"/>
      <c r="AL14" s="6"/>
      <c r="AM14" s="6"/>
      <c r="AN14" s="6"/>
    </row>
    <row r="15" spans="1:40" ht="14.25" customHeight="1" x14ac:dyDescent="0.2">
      <c r="A15" s="96"/>
      <c r="B15" s="96"/>
      <c r="C15" s="94"/>
      <c r="D15" s="93"/>
      <c r="E15" s="97"/>
      <c r="F15" s="97"/>
      <c r="G15" s="94"/>
      <c r="H15" s="94"/>
      <c r="I15" s="97"/>
      <c r="J15" s="97"/>
      <c r="K15" s="93"/>
      <c r="L15" s="93"/>
      <c r="M15" s="97"/>
      <c r="N15" s="97"/>
      <c r="O15" s="107"/>
      <c r="P15" s="107"/>
      <c r="Q15" s="97"/>
      <c r="R15" s="97"/>
      <c r="S15" s="107"/>
      <c r="T15" s="107"/>
      <c r="U15" s="97"/>
      <c r="V15" s="97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6"/>
      <c r="AH15" s="6"/>
      <c r="AI15" s="6"/>
      <c r="AJ15" s="6"/>
      <c r="AK15" s="6"/>
      <c r="AL15" s="6"/>
      <c r="AM15" s="6"/>
      <c r="AN15" s="6"/>
    </row>
    <row r="16" spans="1:40" ht="14.25" customHeight="1" x14ac:dyDescent="0.2">
      <c r="A16" s="96"/>
      <c r="B16" s="96"/>
      <c r="C16" s="95"/>
      <c r="D16" s="93"/>
      <c r="E16" s="97"/>
      <c r="F16" s="97"/>
      <c r="G16" s="95"/>
      <c r="H16" s="95"/>
      <c r="I16" s="97"/>
      <c r="J16" s="97"/>
      <c r="K16" s="94"/>
      <c r="L16" s="94"/>
      <c r="M16" s="97"/>
      <c r="N16" s="97"/>
      <c r="O16" s="94"/>
      <c r="P16" s="94"/>
      <c r="Q16" s="97"/>
      <c r="R16" s="97"/>
      <c r="S16" s="107"/>
      <c r="T16" s="107"/>
      <c r="U16" s="97"/>
      <c r="V16" s="97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6"/>
      <c r="AH16" s="6"/>
      <c r="AI16" s="6"/>
      <c r="AJ16" s="6"/>
      <c r="AK16" s="6"/>
      <c r="AL16" s="6"/>
      <c r="AM16" s="6"/>
      <c r="AN16" s="6"/>
    </row>
    <row r="17" spans="1:40" ht="14.25" customHeight="1" x14ac:dyDescent="0.2">
      <c r="A17" s="96"/>
      <c r="B17" s="96"/>
      <c r="C17" s="95"/>
      <c r="D17" s="93"/>
      <c r="E17" s="97"/>
      <c r="F17" s="97"/>
      <c r="G17" s="94"/>
      <c r="H17" s="94"/>
      <c r="I17" s="97"/>
      <c r="J17" s="97"/>
      <c r="K17" s="93"/>
      <c r="L17" s="93"/>
      <c r="M17" s="97"/>
      <c r="N17" s="97"/>
      <c r="O17" s="107"/>
      <c r="P17" s="107"/>
      <c r="Q17" s="97"/>
      <c r="R17" s="97"/>
      <c r="S17" s="94"/>
      <c r="T17" s="94"/>
      <c r="U17" s="97"/>
      <c r="V17" s="97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6"/>
      <c r="AH17" s="6"/>
      <c r="AI17" s="6"/>
      <c r="AJ17" s="6"/>
      <c r="AK17" s="6"/>
      <c r="AL17" s="6"/>
      <c r="AM17" s="6"/>
      <c r="AN17" s="6"/>
    </row>
    <row r="18" spans="1:40" ht="14.25" customHeight="1" x14ac:dyDescent="0.2">
      <c r="A18" s="96"/>
      <c r="B18" s="96"/>
      <c r="C18" s="95"/>
      <c r="D18" s="93"/>
      <c r="E18" s="97"/>
      <c r="F18" s="97"/>
      <c r="G18" s="95"/>
      <c r="H18" s="93"/>
      <c r="I18" s="97"/>
      <c r="J18" s="97"/>
      <c r="K18" s="94"/>
      <c r="L18" s="94"/>
      <c r="M18" s="97"/>
      <c r="N18" s="97"/>
      <c r="O18" s="107"/>
      <c r="P18" s="107"/>
      <c r="Q18" s="97"/>
      <c r="R18" s="97"/>
      <c r="S18" s="107"/>
      <c r="T18" s="107"/>
      <c r="U18" s="97"/>
      <c r="V18" s="97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6"/>
      <c r="AH18" s="6"/>
      <c r="AI18" s="6"/>
      <c r="AJ18" s="6"/>
      <c r="AK18" s="6"/>
      <c r="AL18" s="6"/>
      <c r="AM18" s="6"/>
      <c r="AN18" s="6"/>
    </row>
    <row r="19" spans="1:40" ht="14.25" customHeight="1" x14ac:dyDescent="0.2">
      <c r="A19" s="96"/>
      <c r="B19" s="96"/>
      <c r="C19" s="94"/>
      <c r="D19" s="94"/>
      <c r="E19" s="97"/>
      <c r="F19" s="97"/>
      <c r="G19" s="95"/>
      <c r="H19" s="93"/>
      <c r="I19" s="97"/>
      <c r="J19" s="97"/>
      <c r="K19" s="107"/>
      <c r="L19" s="107"/>
      <c r="M19" s="97"/>
      <c r="N19" s="97"/>
      <c r="O19" s="107"/>
      <c r="P19" s="107"/>
      <c r="Q19" s="97"/>
      <c r="R19" s="97"/>
      <c r="S19" s="94"/>
      <c r="T19" s="94"/>
      <c r="U19" s="97"/>
      <c r="V19" s="97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6"/>
      <c r="AH19" s="6"/>
      <c r="AI19" s="6"/>
      <c r="AJ19" s="6"/>
      <c r="AK19" s="6"/>
      <c r="AL19" s="6"/>
      <c r="AM19" s="6"/>
      <c r="AN19" s="6"/>
    </row>
    <row r="20" spans="1:40" ht="14.25" customHeight="1" x14ac:dyDescent="0.2">
      <c r="A20" s="96"/>
      <c r="B20" s="96"/>
      <c r="C20" s="95"/>
      <c r="D20" s="93"/>
      <c r="E20" s="97"/>
      <c r="F20" s="97"/>
      <c r="G20" s="95"/>
      <c r="H20" s="93"/>
      <c r="I20" s="97"/>
      <c r="J20" s="97"/>
      <c r="K20" s="93"/>
      <c r="L20" s="93"/>
      <c r="M20" s="97"/>
      <c r="N20" s="97"/>
      <c r="O20" s="93"/>
      <c r="P20" s="107"/>
      <c r="Q20" s="97"/>
      <c r="R20" s="97"/>
      <c r="S20" s="107"/>
      <c r="T20" s="107"/>
      <c r="U20" s="97"/>
      <c r="V20" s="97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6"/>
      <c r="AH20" s="6"/>
      <c r="AI20" s="6"/>
      <c r="AJ20" s="6"/>
      <c r="AK20" s="6"/>
      <c r="AL20" s="6"/>
      <c r="AM20" s="6"/>
      <c r="AN20" s="6"/>
    </row>
    <row r="21" spans="1:40" ht="15.75" customHeight="1" x14ac:dyDescent="0.2">
      <c r="A21" s="96"/>
      <c r="B21" s="96"/>
      <c r="C21" s="94"/>
      <c r="D21" s="94"/>
      <c r="E21" s="97"/>
      <c r="F21" s="97"/>
      <c r="G21" s="95"/>
      <c r="H21" s="93"/>
      <c r="I21" s="97"/>
      <c r="J21" s="97"/>
      <c r="K21" s="93"/>
      <c r="L21" s="93"/>
      <c r="M21" s="97"/>
      <c r="N21" s="97"/>
      <c r="O21" s="94"/>
      <c r="P21" s="94"/>
      <c r="Q21" s="97"/>
      <c r="R21" s="97"/>
      <c r="S21" s="107"/>
      <c r="T21" s="107"/>
      <c r="U21" s="97"/>
      <c r="V21" s="97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6"/>
      <c r="AH21" s="6"/>
      <c r="AI21" s="6"/>
      <c r="AJ21" s="6"/>
      <c r="AK21" s="6"/>
      <c r="AL21" s="6"/>
      <c r="AM21" s="6"/>
      <c r="AN21" s="6"/>
    </row>
    <row r="22" spans="1:40" ht="15.75" customHeight="1" x14ac:dyDescent="0.2">
      <c r="A22" s="96"/>
      <c r="B22" s="96"/>
      <c r="C22" s="95"/>
      <c r="D22" s="93"/>
      <c r="E22" s="97"/>
      <c r="F22" s="97"/>
      <c r="G22" s="94"/>
      <c r="H22" s="94"/>
      <c r="I22" s="97"/>
      <c r="J22" s="97"/>
      <c r="K22" s="93"/>
      <c r="L22" s="93"/>
      <c r="M22" s="97"/>
      <c r="N22" s="97"/>
      <c r="O22" s="107"/>
      <c r="P22" s="107"/>
      <c r="Q22" s="97"/>
      <c r="R22" s="97"/>
      <c r="S22" s="93"/>
      <c r="T22" s="107"/>
      <c r="U22" s="97"/>
      <c r="V22" s="97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6"/>
      <c r="AH22" s="6"/>
      <c r="AI22" s="6"/>
      <c r="AJ22" s="6"/>
      <c r="AK22" s="6"/>
      <c r="AL22" s="6"/>
      <c r="AM22" s="6"/>
      <c r="AN22" s="6"/>
    </row>
    <row r="23" spans="1:40" ht="15.75" customHeight="1" x14ac:dyDescent="0.2">
      <c r="A23" s="96"/>
      <c r="B23" s="96"/>
      <c r="C23" s="95"/>
      <c r="D23" s="93"/>
      <c r="E23" s="97"/>
      <c r="F23" s="97"/>
      <c r="G23" s="95"/>
      <c r="H23" s="93"/>
      <c r="I23" s="97"/>
      <c r="J23" s="97"/>
      <c r="K23" s="94"/>
      <c r="L23" s="94"/>
      <c r="M23" s="97"/>
      <c r="N23" s="97"/>
      <c r="O23" s="94"/>
      <c r="P23" s="94"/>
      <c r="Q23" s="97"/>
      <c r="R23" s="97"/>
      <c r="S23" s="107"/>
      <c r="T23" s="107"/>
      <c r="U23" s="97"/>
      <c r="V23" s="97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6"/>
      <c r="AH23" s="6"/>
      <c r="AI23" s="6"/>
      <c r="AJ23" s="6"/>
      <c r="AK23" s="6"/>
      <c r="AL23" s="6"/>
      <c r="AM23" s="6"/>
      <c r="AN23" s="6"/>
    </row>
    <row r="24" spans="1:40" ht="15.75" customHeight="1" x14ac:dyDescent="0.2">
      <c r="A24" s="96"/>
      <c r="B24" s="96"/>
      <c r="C24" s="111"/>
      <c r="D24" s="111"/>
      <c r="E24" s="97"/>
      <c r="F24" s="97"/>
      <c r="G24" s="108"/>
      <c r="H24" s="108"/>
      <c r="I24" s="97"/>
      <c r="J24" s="97"/>
      <c r="K24" s="109"/>
      <c r="L24" s="109"/>
      <c r="M24" s="97"/>
      <c r="N24" s="97"/>
      <c r="O24" s="110"/>
      <c r="P24" s="110"/>
      <c r="Q24" s="97"/>
      <c r="R24" s="97"/>
      <c r="S24" s="111"/>
      <c r="T24" s="111"/>
      <c r="U24" s="97"/>
      <c r="V24" s="97"/>
      <c r="W24" s="24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spans="1:40" ht="15.75" customHeight="1" x14ac:dyDescent="0.2">
      <c r="A25" s="43"/>
      <c r="B25" s="4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spans="1:40" ht="14.25" customHeight="1" x14ac:dyDescent="0.2">
      <c r="A26" s="169" t="s">
        <v>70</v>
      </c>
      <c r="B26" s="132"/>
      <c r="C26" s="170">
        <f>COUNT(C9:C24)</f>
        <v>0</v>
      </c>
      <c r="D26" s="131"/>
      <c r="E26" s="131"/>
      <c r="F26" s="132"/>
      <c r="G26" s="170">
        <f>COUNT(G9:G24)</f>
        <v>0</v>
      </c>
      <c r="H26" s="131"/>
      <c r="I26" s="131"/>
      <c r="J26" s="132"/>
      <c r="K26" s="170">
        <f>COUNT(K9:K24)</f>
        <v>0</v>
      </c>
      <c r="L26" s="131"/>
      <c r="M26" s="131"/>
      <c r="N26" s="132"/>
      <c r="O26" s="170">
        <f>COUNT(O9:O24)</f>
        <v>0</v>
      </c>
      <c r="P26" s="131"/>
      <c r="Q26" s="131"/>
      <c r="R26" s="132"/>
      <c r="S26" s="170">
        <f>COUNT(S9:S24)</f>
        <v>0</v>
      </c>
      <c r="T26" s="131"/>
      <c r="U26" s="131"/>
      <c r="V26" s="132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spans="1:40" ht="15.75" customHeight="1" x14ac:dyDescent="0.2">
      <c r="A27" s="169" t="s">
        <v>30</v>
      </c>
      <c r="B27" s="132"/>
      <c r="C27" s="168">
        <f>COUNTIF(C9:C23,"Absent")</f>
        <v>0</v>
      </c>
      <c r="D27" s="131"/>
      <c r="E27" s="131"/>
      <c r="F27" s="132"/>
      <c r="G27" s="168">
        <f>COUNTIF(G9:G23,"Absent")</f>
        <v>0</v>
      </c>
      <c r="H27" s="131"/>
      <c r="I27" s="131"/>
      <c r="J27" s="132"/>
      <c r="K27" s="168">
        <f>COUNTIF(K9:K23,"Absent")</f>
        <v>0</v>
      </c>
      <c r="L27" s="131"/>
      <c r="M27" s="131"/>
      <c r="N27" s="132"/>
      <c r="O27" s="168">
        <f>COUNTIF(O9:O23,"Absent")</f>
        <v>0</v>
      </c>
      <c r="P27" s="131"/>
      <c r="Q27" s="131"/>
      <c r="R27" s="132"/>
      <c r="S27" s="168">
        <f>COUNTIF(S9:S23,"Absent")</f>
        <v>0</v>
      </c>
      <c r="T27" s="131"/>
      <c r="U27" s="131"/>
      <c r="V27" s="132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spans="1:40" ht="15.75" customHeight="1" x14ac:dyDescent="0.2">
      <c r="A28" s="167" t="s">
        <v>24</v>
      </c>
      <c r="B28" s="132"/>
      <c r="C28" s="168">
        <f>COUNTIF(C9:C23,"Leave")+COUNTIF(C9:C23,"VL")</f>
        <v>0</v>
      </c>
      <c r="D28" s="131"/>
      <c r="E28" s="131"/>
      <c r="F28" s="132"/>
      <c r="G28" s="168">
        <f>COUNTIF(G9:G23,"Leave")+COUNTIF(G9:G23,"VL")</f>
        <v>0</v>
      </c>
      <c r="H28" s="131"/>
      <c r="I28" s="131"/>
      <c r="J28" s="132"/>
      <c r="K28" s="168">
        <f>COUNTIF(K9:K23,"Leave")+COUNTIF(K9:K23,"VL")</f>
        <v>0</v>
      </c>
      <c r="L28" s="131"/>
      <c r="M28" s="131"/>
      <c r="N28" s="132"/>
      <c r="O28" s="168">
        <f>COUNTIF(O9:O23,"Leave")+COUNTIF(O9:O23,"VL")</f>
        <v>0</v>
      </c>
      <c r="P28" s="131"/>
      <c r="Q28" s="131"/>
      <c r="R28" s="132"/>
      <c r="S28" s="168">
        <f>COUNTIF(S9:S23,"Leave")+COUNTIF(S9:S23,"VL")</f>
        <v>0</v>
      </c>
      <c r="T28" s="131"/>
      <c r="U28" s="131"/>
      <c r="V28" s="132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spans="1:40" ht="15.75" customHeight="1" x14ac:dyDescent="0.2">
      <c r="A29" s="167" t="s">
        <v>26</v>
      </c>
      <c r="B29" s="132"/>
      <c r="C29" s="171">
        <f>COUNTIF(C9:C23,"SL")</f>
        <v>0</v>
      </c>
      <c r="D29" s="131"/>
      <c r="E29" s="131"/>
      <c r="F29" s="132"/>
      <c r="G29" s="171">
        <f>COUNTIF(G9:G23,"SL")</f>
        <v>0</v>
      </c>
      <c r="H29" s="131"/>
      <c r="I29" s="131"/>
      <c r="J29" s="132"/>
      <c r="K29" s="171">
        <f>COUNTIF(K9:K23,"SL")</f>
        <v>0</v>
      </c>
      <c r="L29" s="131"/>
      <c r="M29" s="131"/>
      <c r="N29" s="132"/>
      <c r="O29" s="171">
        <f>COUNTIF(O9:O23,"SL")</f>
        <v>0</v>
      </c>
      <c r="P29" s="131"/>
      <c r="Q29" s="131"/>
      <c r="R29" s="132"/>
      <c r="S29" s="171">
        <f>COUNTIF(S9:S23,"SL")</f>
        <v>0</v>
      </c>
      <c r="T29" s="131"/>
      <c r="U29" s="131"/>
      <c r="V29" s="132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spans="1:40" ht="15.75" customHeight="1" x14ac:dyDescent="0.2">
      <c r="A30" s="167" t="s">
        <v>76</v>
      </c>
      <c r="B30" s="132"/>
      <c r="C30" s="168">
        <f>COUNTIF(C9:C23,"ML")</f>
        <v>0</v>
      </c>
      <c r="D30" s="131"/>
      <c r="E30" s="131"/>
      <c r="F30" s="132"/>
      <c r="G30" s="168">
        <f>COUNTIF(G9:G23,"ML")</f>
        <v>0</v>
      </c>
      <c r="H30" s="131"/>
      <c r="I30" s="131"/>
      <c r="J30" s="132"/>
      <c r="K30" s="168">
        <f>COUNTIF(K9:K23,"ML")</f>
        <v>0</v>
      </c>
      <c r="L30" s="131"/>
      <c r="M30" s="131"/>
      <c r="N30" s="132"/>
      <c r="O30" s="168">
        <f>COUNTIF(O9:O23,"ML")</f>
        <v>0</v>
      </c>
      <c r="P30" s="131"/>
      <c r="Q30" s="131"/>
      <c r="R30" s="132"/>
      <c r="S30" s="168">
        <f>COUNTIF(S9:S23,"ML")</f>
        <v>0</v>
      </c>
      <c r="T30" s="131"/>
      <c r="U30" s="131"/>
      <c r="V30" s="132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spans="1:40" ht="15.75" customHeight="1" x14ac:dyDescent="0.25">
      <c r="A31" s="2"/>
      <c r="B31" s="2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 ht="15.75" customHeight="1" x14ac:dyDescent="0.25">
      <c r="A32" s="2"/>
      <c r="B32" s="2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6"/>
      <c r="AH32" s="6"/>
      <c r="AI32" s="6"/>
      <c r="AJ32" s="6"/>
      <c r="AK32" s="6"/>
      <c r="AL32" s="6"/>
      <c r="AM32" s="6"/>
      <c r="AN32" s="6"/>
    </row>
    <row r="33" spans="1:40" ht="15.75" customHeight="1" x14ac:dyDescent="0.25">
      <c r="A33" s="2"/>
      <c r="B33" s="2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6"/>
      <c r="AH33" s="6"/>
      <c r="AI33" s="6"/>
      <c r="AJ33" s="6"/>
      <c r="AK33" s="6"/>
      <c r="AL33" s="6"/>
      <c r="AM33" s="6"/>
      <c r="AN33" s="6"/>
    </row>
    <row r="34" spans="1:40" ht="15.75" customHeight="1" x14ac:dyDescent="0.25">
      <c r="A34" s="2"/>
      <c r="B34" s="2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6"/>
      <c r="AH34" s="6"/>
      <c r="AI34" s="6"/>
      <c r="AJ34" s="6"/>
      <c r="AK34" s="6"/>
      <c r="AL34" s="6"/>
      <c r="AM34" s="6"/>
      <c r="AN34" s="6"/>
    </row>
    <row r="35" spans="1:40" ht="15.75" customHeight="1" x14ac:dyDescent="0.25">
      <c r="A35" s="2"/>
      <c r="B35" s="2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6"/>
      <c r="AH35" s="6"/>
      <c r="AI35" s="6"/>
      <c r="AJ35" s="6"/>
      <c r="AK35" s="6"/>
      <c r="AL35" s="6"/>
      <c r="AM35" s="6"/>
      <c r="AN35" s="6"/>
    </row>
    <row r="36" spans="1:40" ht="15.75" customHeight="1" x14ac:dyDescent="0.25">
      <c r="A36" s="2"/>
      <c r="B36" s="2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6"/>
      <c r="AH36" s="6"/>
      <c r="AI36" s="6"/>
      <c r="AJ36" s="6"/>
      <c r="AK36" s="6"/>
      <c r="AL36" s="6"/>
      <c r="AM36" s="6"/>
      <c r="AN36" s="6"/>
    </row>
    <row r="37" spans="1:40" ht="15.75" customHeight="1" x14ac:dyDescent="0.25">
      <c r="A37" s="2"/>
      <c r="B37" s="2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6"/>
      <c r="AH37" s="6"/>
      <c r="AI37" s="6"/>
      <c r="AJ37" s="6"/>
      <c r="AK37" s="6"/>
      <c r="AL37" s="6"/>
      <c r="AM37" s="6"/>
      <c r="AN37" s="6"/>
    </row>
    <row r="38" spans="1:40" ht="15.75" customHeight="1" x14ac:dyDescent="0.25">
      <c r="A38" s="2"/>
      <c r="B38" s="2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6"/>
      <c r="AH38" s="6"/>
      <c r="AI38" s="6"/>
      <c r="AJ38" s="6"/>
      <c r="AK38" s="6"/>
      <c r="AL38" s="6"/>
      <c r="AM38" s="6"/>
      <c r="AN38" s="6"/>
    </row>
    <row r="39" spans="1:40" ht="15.75" customHeight="1" x14ac:dyDescent="0.25">
      <c r="A39" s="2"/>
      <c r="B39" s="2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6"/>
      <c r="AH39" s="6"/>
      <c r="AI39" s="6"/>
      <c r="AJ39" s="6"/>
      <c r="AK39" s="6"/>
      <c r="AL39" s="6"/>
      <c r="AM39" s="6"/>
      <c r="AN39" s="6"/>
    </row>
    <row r="40" spans="1:40" ht="15.75" customHeight="1" x14ac:dyDescent="0.25">
      <c r="A40" s="2"/>
      <c r="B40" s="2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6"/>
      <c r="AH40" s="6"/>
      <c r="AI40" s="6"/>
      <c r="AJ40" s="6"/>
      <c r="AK40" s="6"/>
      <c r="AL40" s="6"/>
      <c r="AM40" s="6"/>
      <c r="AN40" s="6"/>
    </row>
    <row r="41" spans="1:40" ht="15.75" customHeight="1" x14ac:dyDescent="0.25">
      <c r="A41" s="2"/>
      <c r="B41" s="2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6"/>
      <c r="AH41" s="6"/>
      <c r="AI41" s="6"/>
      <c r="AJ41" s="6"/>
      <c r="AK41" s="6"/>
      <c r="AL41" s="6"/>
      <c r="AM41" s="6"/>
      <c r="AN41" s="6"/>
    </row>
    <row r="42" spans="1:40" ht="15.75" customHeight="1" x14ac:dyDescent="0.25">
      <c r="A42" s="2"/>
      <c r="B42" s="2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6"/>
      <c r="AH42" s="6"/>
      <c r="AI42" s="6"/>
      <c r="AJ42" s="6"/>
      <c r="AK42" s="6"/>
      <c r="AL42" s="6"/>
      <c r="AM42" s="6"/>
      <c r="AN42" s="6"/>
    </row>
    <row r="43" spans="1:40" ht="15.75" customHeight="1" x14ac:dyDescent="0.25">
      <c r="A43" s="2"/>
      <c r="B43" s="2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6"/>
      <c r="AH43" s="6"/>
      <c r="AI43" s="6"/>
      <c r="AJ43" s="6"/>
      <c r="AK43" s="6"/>
      <c r="AL43" s="6"/>
      <c r="AM43" s="6"/>
      <c r="AN43" s="6"/>
    </row>
    <row r="44" spans="1:40" ht="15.75" customHeight="1" x14ac:dyDescent="0.25">
      <c r="A44" s="2"/>
      <c r="B44" s="2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6"/>
      <c r="AH44" s="6"/>
      <c r="AI44" s="6"/>
      <c r="AJ44" s="6"/>
      <c r="AK44" s="6"/>
      <c r="AL44" s="6"/>
      <c r="AM44" s="6"/>
      <c r="AN44" s="6"/>
    </row>
    <row r="45" spans="1:40" ht="15.75" customHeight="1" x14ac:dyDescent="0.25">
      <c r="A45" s="2"/>
      <c r="B45" s="2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6"/>
      <c r="AH45" s="6"/>
      <c r="AI45" s="6"/>
      <c r="AJ45" s="6"/>
      <c r="AK45" s="6"/>
      <c r="AL45" s="6"/>
      <c r="AM45" s="6"/>
      <c r="AN45" s="6"/>
    </row>
    <row r="46" spans="1:40" ht="15.75" customHeight="1" x14ac:dyDescent="0.25">
      <c r="A46" s="2"/>
      <c r="B46" s="2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6"/>
      <c r="AH46" s="6"/>
      <c r="AI46" s="6"/>
      <c r="AJ46" s="6"/>
      <c r="AK46" s="6"/>
      <c r="AL46" s="6"/>
      <c r="AM46" s="6"/>
      <c r="AN46" s="6"/>
    </row>
    <row r="47" spans="1:40" ht="15.75" customHeight="1" x14ac:dyDescent="0.25">
      <c r="A47" s="2"/>
      <c r="B47" s="2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6"/>
      <c r="AH47" s="6"/>
      <c r="AI47" s="6"/>
      <c r="AJ47" s="6"/>
      <c r="AK47" s="6"/>
      <c r="AL47" s="6"/>
      <c r="AM47" s="6"/>
      <c r="AN47" s="6"/>
    </row>
    <row r="48" spans="1:40" ht="15.75" customHeight="1" x14ac:dyDescent="0.25">
      <c r="A48" s="2"/>
      <c r="B48" s="2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6"/>
      <c r="AH48" s="6"/>
      <c r="AI48" s="6"/>
      <c r="AJ48" s="6"/>
      <c r="AK48" s="6"/>
      <c r="AL48" s="6"/>
      <c r="AM48" s="6"/>
      <c r="AN48" s="6"/>
    </row>
    <row r="49" spans="1:40" ht="15.75" customHeight="1" x14ac:dyDescent="0.25">
      <c r="A49" s="2"/>
      <c r="B49" s="2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6"/>
      <c r="AH49" s="6"/>
      <c r="AI49" s="6"/>
      <c r="AJ49" s="6"/>
      <c r="AK49" s="6"/>
      <c r="AL49" s="6"/>
      <c r="AM49" s="6"/>
      <c r="AN49" s="6"/>
    </row>
    <row r="50" spans="1:40" ht="15.75" customHeight="1" x14ac:dyDescent="0.25">
      <c r="A50" s="2"/>
      <c r="B50" s="2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6"/>
      <c r="AH50" s="6"/>
      <c r="AI50" s="6"/>
      <c r="AJ50" s="6"/>
      <c r="AK50" s="6"/>
      <c r="AL50" s="6"/>
      <c r="AM50" s="6"/>
      <c r="AN50" s="6"/>
    </row>
    <row r="51" spans="1:40" ht="15.75" customHeight="1" x14ac:dyDescent="0.25">
      <c r="A51" s="2"/>
      <c r="B51" s="2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6"/>
      <c r="AH51" s="6"/>
      <c r="AI51" s="6"/>
      <c r="AJ51" s="6"/>
      <c r="AK51" s="6"/>
      <c r="AL51" s="6"/>
      <c r="AM51" s="6"/>
      <c r="AN51" s="6"/>
    </row>
    <row r="52" spans="1:40" ht="15.75" customHeight="1" x14ac:dyDescent="0.25">
      <c r="A52" s="2"/>
      <c r="B52" s="2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6"/>
      <c r="AH52" s="6"/>
      <c r="AI52" s="6"/>
      <c r="AJ52" s="6"/>
      <c r="AK52" s="6"/>
      <c r="AL52" s="6"/>
      <c r="AM52" s="6"/>
      <c r="AN52" s="6"/>
    </row>
    <row r="53" spans="1:40" ht="15.75" customHeight="1" x14ac:dyDescent="0.25">
      <c r="A53" s="2"/>
      <c r="B53" s="2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6"/>
      <c r="AH53" s="6"/>
      <c r="AI53" s="6"/>
      <c r="AJ53" s="6"/>
      <c r="AK53" s="6"/>
      <c r="AL53" s="6"/>
      <c r="AM53" s="6"/>
      <c r="AN53" s="6"/>
    </row>
    <row r="54" spans="1:40" ht="15.75" customHeight="1" x14ac:dyDescent="0.25">
      <c r="A54" s="2"/>
      <c r="B54" s="2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6"/>
      <c r="AH54" s="6"/>
      <c r="AI54" s="6"/>
      <c r="AJ54" s="6"/>
      <c r="AK54" s="6"/>
      <c r="AL54" s="6"/>
      <c r="AM54" s="6"/>
      <c r="AN54" s="6"/>
    </row>
    <row r="55" spans="1:40" ht="15.75" customHeight="1" x14ac:dyDescent="0.25">
      <c r="A55" s="2"/>
      <c r="B55" s="2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6"/>
      <c r="AH55" s="6"/>
      <c r="AI55" s="6"/>
      <c r="AJ55" s="6"/>
      <c r="AK55" s="6"/>
      <c r="AL55" s="6"/>
      <c r="AM55" s="6"/>
      <c r="AN55" s="6"/>
    </row>
    <row r="56" spans="1:40" ht="15.75" customHeight="1" x14ac:dyDescent="0.25">
      <c r="A56" s="2"/>
      <c r="B56" s="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6"/>
      <c r="AH56" s="6"/>
      <c r="AI56" s="6"/>
      <c r="AJ56" s="6"/>
      <c r="AK56" s="6"/>
      <c r="AL56" s="6"/>
      <c r="AM56" s="6"/>
      <c r="AN56" s="6"/>
    </row>
    <row r="57" spans="1:40" ht="15.75" customHeight="1" x14ac:dyDescent="0.25">
      <c r="A57" s="2"/>
      <c r="B57" s="2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6"/>
      <c r="AH57" s="6"/>
      <c r="AI57" s="6"/>
      <c r="AJ57" s="6"/>
      <c r="AK57" s="6"/>
      <c r="AL57" s="6"/>
      <c r="AM57" s="6"/>
      <c r="AN57" s="6"/>
    </row>
    <row r="58" spans="1:40" ht="15.75" customHeight="1" x14ac:dyDescent="0.25">
      <c r="A58" s="2"/>
      <c r="B58" s="2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6"/>
      <c r="AH58" s="6"/>
      <c r="AI58" s="6"/>
      <c r="AJ58" s="6"/>
      <c r="AK58" s="6"/>
      <c r="AL58" s="6"/>
      <c r="AM58" s="6"/>
      <c r="AN58" s="6"/>
    </row>
    <row r="59" spans="1:40" ht="15.75" customHeight="1" x14ac:dyDescent="0.25">
      <c r="A59" s="2"/>
      <c r="B59" s="2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6"/>
      <c r="AH59" s="6"/>
      <c r="AI59" s="6"/>
      <c r="AJ59" s="6"/>
      <c r="AK59" s="6"/>
      <c r="AL59" s="6"/>
      <c r="AM59" s="6"/>
      <c r="AN59" s="6"/>
    </row>
    <row r="60" spans="1:40" ht="15.75" customHeight="1" x14ac:dyDescent="0.25">
      <c r="A60" s="2"/>
      <c r="B60" s="2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6"/>
      <c r="AH60" s="6"/>
      <c r="AI60" s="6"/>
      <c r="AJ60" s="6"/>
      <c r="AK60" s="6"/>
      <c r="AL60" s="6"/>
      <c r="AM60" s="6"/>
      <c r="AN60" s="6"/>
    </row>
    <row r="61" spans="1:40" ht="15.75" customHeight="1" x14ac:dyDescent="0.25">
      <c r="A61" s="2"/>
      <c r="B61" s="2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6"/>
      <c r="AH61" s="6"/>
      <c r="AI61" s="6"/>
      <c r="AJ61" s="6"/>
      <c r="AK61" s="6"/>
      <c r="AL61" s="6"/>
      <c r="AM61" s="6"/>
      <c r="AN61" s="6"/>
    </row>
    <row r="62" spans="1:40" ht="15.75" customHeight="1" x14ac:dyDescent="0.25">
      <c r="A62" s="2"/>
      <c r="B62" s="2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6"/>
      <c r="AH62" s="6"/>
      <c r="AI62" s="6"/>
      <c r="AJ62" s="6"/>
      <c r="AK62" s="6"/>
      <c r="AL62" s="6"/>
      <c r="AM62" s="6"/>
      <c r="AN62" s="6"/>
    </row>
    <row r="63" spans="1:40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</row>
    <row r="64" spans="1:40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</row>
    <row r="65" spans="1:40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</row>
    <row r="66" spans="1:40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</row>
    <row r="67" spans="1:40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</row>
    <row r="68" spans="1:40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</row>
    <row r="69" spans="1:40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</row>
    <row r="70" spans="1:40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</row>
    <row r="71" spans="1:40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</row>
    <row r="72" spans="1:40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</row>
    <row r="73" spans="1:40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</row>
    <row r="74" spans="1:40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</row>
    <row r="75" spans="1:40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</row>
    <row r="76" spans="1:40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</row>
    <row r="77" spans="1:40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</row>
    <row r="78" spans="1:40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</row>
    <row r="79" spans="1:40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</row>
    <row r="80" spans="1:40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</row>
    <row r="81" spans="1:40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</row>
    <row r="82" spans="1:40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</row>
    <row r="83" spans="1:40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</row>
    <row r="84" spans="1:40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</row>
    <row r="85" spans="1:40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</row>
    <row r="86" spans="1:40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</row>
    <row r="87" spans="1:40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</row>
    <row r="88" spans="1:40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</row>
    <row r="89" spans="1:40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</row>
    <row r="90" spans="1:40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</row>
    <row r="91" spans="1:40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</row>
    <row r="92" spans="1:40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</row>
    <row r="93" spans="1:40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</row>
    <row r="94" spans="1:40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</row>
    <row r="95" spans="1:40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</row>
    <row r="96" spans="1:40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</row>
    <row r="97" spans="1:40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</row>
    <row r="98" spans="1:40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</row>
    <row r="99" spans="1:40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 spans="1:40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 spans="1:40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 spans="1:40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 spans="1:40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 spans="1:40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 spans="1:40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 spans="1:40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 spans="1:40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 spans="1:40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 spans="1:40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 spans="1:40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 spans="1:40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 spans="1:40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</row>
    <row r="113" spans="1:40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 spans="1:40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 spans="1:40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 spans="1:40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 spans="1:40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 spans="1:40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 spans="1:40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 spans="1:40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 spans="1:40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 spans="1:40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 spans="1:40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 spans="1:40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</row>
    <row r="125" spans="1:40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 spans="1:40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 spans="1:40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</row>
    <row r="128" spans="1:40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 spans="1:40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</row>
    <row r="130" spans="1:40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 spans="1:40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 spans="1:40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 spans="1:40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 spans="1:40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 spans="1:40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 spans="1:40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 spans="1:40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 spans="1:40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 spans="1:40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 spans="1:40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 spans="1:40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 spans="1:40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 spans="1:40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 spans="1:40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 spans="1:40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 spans="1:40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 spans="1:40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 spans="1:40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 spans="1:40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 spans="1:40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 spans="1:40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 spans="1:40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 spans="1:40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 spans="1:40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 spans="1:40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 spans="1:40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 spans="1:40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 spans="1:40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 spans="1:40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 spans="1:40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 spans="1:40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 spans="1:40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 spans="1:40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</row>
    <row r="164" spans="1:40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 spans="1:40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 spans="1:40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 spans="1:40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 spans="1:40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 spans="1:40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 spans="1:40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 spans="1:40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 spans="1:40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 spans="1:40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 spans="1:40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 spans="1:40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 spans="1:40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 spans="1:40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 spans="1:40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 spans="1:40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 spans="1:40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</row>
    <row r="182" spans="1:40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 spans="1:40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 spans="1:40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 spans="1:40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 spans="1:40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 spans="1:40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 spans="1:40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 spans="1:40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 spans="1:40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 spans="1:40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 spans="1:40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 spans="1:40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 spans="1:40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</row>
    <row r="195" spans="1:40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 spans="1:40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 spans="1:40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 spans="1:40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 spans="1:40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 spans="1:40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 spans="1:40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 spans="1:40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 spans="1:40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 spans="1:40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 spans="1:40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 spans="1:40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 spans="1:40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 spans="1:40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 spans="1:40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 spans="1:40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 spans="1:40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 spans="1:40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 spans="1:40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 spans="1:40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 spans="1:40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 spans="1:40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 spans="1:40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 spans="1:40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 spans="1:40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 spans="1:40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 spans="1:40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 spans="1:40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 spans="1:40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 spans="1:40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 spans="1:40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 spans="1:40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 spans="1:40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 spans="1:40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 spans="1:40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 spans="1:40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 spans="1:40" ht="14.25" customHeight="1" x14ac:dyDescent="0.2"/>
    <row r="232" spans="1:40" ht="14.25" customHeight="1" x14ac:dyDescent="0.2"/>
    <row r="233" spans="1:40" ht="14.25" customHeight="1" x14ac:dyDescent="0.2"/>
    <row r="234" spans="1:40" ht="14.25" customHeight="1" x14ac:dyDescent="0.2"/>
    <row r="235" spans="1:40" ht="14.25" customHeight="1" x14ac:dyDescent="0.2"/>
    <row r="236" spans="1:40" ht="14.25" customHeight="1" x14ac:dyDescent="0.2"/>
    <row r="237" spans="1:40" ht="14.25" customHeight="1" x14ac:dyDescent="0.2"/>
    <row r="238" spans="1:40" ht="14.25" customHeight="1" x14ac:dyDescent="0.2"/>
    <row r="239" spans="1:40" ht="14.25" customHeight="1" x14ac:dyDescent="0.2"/>
    <row r="240" spans="1: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45">
    <mergeCell ref="S30:V30"/>
    <mergeCell ref="C27:F27"/>
    <mergeCell ref="G27:J27"/>
    <mergeCell ref="A28:B28"/>
    <mergeCell ref="C28:F28"/>
    <mergeCell ref="G28:J28"/>
    <mergeCell ref="C29:F29"/>
    <mergeCell ref="G29:J29"/>
    <mergeCell ref="A30:B30"/>
    <mergeCell ref="C30:F30"/>
    <mergeCell ref="G30:J30"/>
    <mergeCell ref="K30:N30"/>
    <mergeCell ref="O30:R30"/>
    <mergeCell ref="K29:N29"/>
    <mergeCell ref="O29:R29"/>
    <mergeCell ref="S29:V29"/>
    <mergeCell ref="S26:V26"/>
    <mergeCell ref="A27:B27"/>
    <mergeCell ref="S27:V27"/>
    <mergeCell ref="A29:B29"/>
    <mergeCell ref="K27:N27"/>
    <mergeCell ref="O27:R27"/>
    <mergeCell ref="K28:N28"/>
    <mergeCell ref="O28:R28"/>
    <mergeCell ref="S28:V28"/>
    <mergeCell ref="A26:B26"/>
    <mergeCell ref="C26:F26"/>
    <mergeCell ref="G26:J26"/>
    <mergeCell ref="K26:N26"/>
    <mergeCell ref="O26:R26"/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</mergeCells>
  <pageMargins left="0.7" right="0.7" top="1.9312499999999999" bottom="1.9312499999999999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000"/>
  <sheetViews>
    <sheetView workbookViewId="0">
      <pane xSplit="2" topLeftCell="K1" activePane="topRight" state="frozen"/>
      <selection pane="topRight" activeCell="A9" sqref="A9:B24"/>
    </sheetView>
  </sheetViews>
  <sheetFormatPr defaultColWidth="12.625" defaultRowHeight="15" customHeight="1" x14ac:dyDescent="0.2"/>
  <cols>
    <col min="1" max="1" width="9.875" customWidth="1"/>
    <col min="2" max="2" width="12.125" customWidth="1"/>
    <col min="3" max="3" width="9.75" customWidth="1"/>
    <col min="4" max="4" width="9.625" customWidth="1"/>
    <col min="5" max="6" width="14.25" customWidth="1"/>
    <col min="7" max="7" width="9.5" customWidth="1"/>
    <col min="8" max="8" width="9.125" customWidth="1"/>
    <col min="9" max="10" width="14.25" customWidth="1"/>
    <col min="11" max="11" width="9.375" customWidth="1"/>
    <col min="12" max="12" width="9.75" customWidth="1"/>
    <col min="13" max="14" width="14.25" customWidth="1"/>
    <col min="15" max="15" width="10.125" customWidth="1"/>
    <col min="16" max="16" width="8.375" customWidth="1"/>
    <col min="17" max="18" width="14.25" customWidth="1"/>
    <col min="19" max="19" width="10" customWidth="1"/>
    <col min="20" max="20" width="10.375" customWidth="1"/>
    <col min="21" max="22" width="14.25" customWidth="1"/>
    <col min="23" max="23" width="9.75" customWidth="1"/>
    <col min="24" max="24" width="10.625" customWidth="1"/>
    <col min="25" max="26" width="14.25" customWidth="1"/>
    <col min="27" max="32" width="8.375" customWidth="1"/>
    <col min="33" max="44" width="13.875" customWidth="1"/>
  </cols>
  <sheetData>
    <row r="1" spans="1:44" ht="14.25" customHeight="1" x14ac:dyDescent="0.25">
      <c r="A1" s="1" t="s">
        <v>1</v>
      </c>
      <c r="B1" s="2"/>
      <c r="C1" s="3" t="s">
        <v>163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4.25" customHeight="1" x14ac:dyDescent="0.25">
      <c r="A2" s="7" t="s">
        <v>7</v>
      </c>
      <c r="B2" s="2"/>
      <c r="C2" s="3" t="s">
        <v>8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pans="1:44" ht="14.25" customHeight="1" x14ac:dyDescent="0.25">
      <c r="A3" s="7" t="s">
        <v>10</v>
      </c>
      <c r="B3" s="2"/>
      <c r="C3" s="10" t="s">
        <v>164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pans="1:44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" customHeight="1" x14ac:dyDescent="0.25">
      <c r="A7" s="164" t="s">
        <v>25</v>
      </c>
      <c r="B7" s="132"/>
      <c r="C7" s="164" t="s">
        <v>61</v>
      </c>
      <c r="D7" s="132"/>
      <c r="E7" s="165" t="s">
        <v>29</v>
      </c>
      <c r="F7" s="166"/>
      <c r="G7" s="164" t="s">
        <v>121</v>
      </c>
      <c r="H7" s="132"/>
      <c r="I7" s="165" t="s">
        <v>29</v>
      </c>
      <c r="J7" s="166"/>
      <c r="K7" s="164" t="s">
        <v>81</v>
      </c>
      <c r="L7" s="132"/>
      <c r="M7" s="165" t="s">
        <v>29</v>
      </c>
      <c r="N7" s="166"/>
      <c r="O7" s="164" t="s">
        <v>101</v>
      </c>
      <c r="P7" s="132"/>
      <c r="Q7" s="165" t="s">
        <v>29</v>
      </c>
      <c r="R7" s="166"/>
      <c r="S7" s="164" t="s">
        <v>122</v>
      </c>
      <c r="T7" s="132"/>
      <c r="U7" s="165" t="s">
        <v>29</v>
      </c>
      <c r="V7" s="166"/>
      <c r="W7" s="164" t="s">
        <v>100</v>
      </c>
      <c r="X7" s="132"/>
      <c r="Y7" s="165" t="s">
        <v>29</v>
      </c>
      <c r="Z7" s="166"/>
      <c r="AA7" s="163"/>
      <c r="AB7" s="125"/>
      <c r="AC7" s="163"/>
      <c r="AD7" s="125"/>
      <c r="AE7" s="2"/>
      <c r="AF7" s="2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" customHeight="1" x14ac:dyDescent="0.25">
      <c r="A8" s="31" t="str">
        <f>CLEAN(BUUG!A8)</f>
        <v>#</v>
      </c>
      <c r="B8" s="31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21" t="s">
        <v>35</v>
      </c>
      <c r="X8" s="21" t="s">
        <v>36</v>
      </c>
      <c r="Y8" s="22" t="s">
        <v>35</v>
      </c>
      <c r="Z8" s="22" t="s">
        <v>36</v>
      </c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4.25" customHeight="1" x14ac:dyDescent="0.2">
      <c r="A9" s="96"/>
      <c r="B9" s="96"/>
      <c r="C9" s="90"/>
      <c r="D9" s="90"/>
      <c r="E9" s="97"/>
      <c r="F9" s="97"/>
      <c r="G9" s="91"/>
      <c r="H9" s="91"/>
      <c r="I9" s="97"/>
      <c r="J9" s="97"/>
      <c r="K9" s="90"/>
      <c r="L9" s="90"/>
      <c r="M9" s="97"/>
      <c r="N9" s="97"/>
      <c r="O9" s="91"/>
      <c r="P9" s="91"/>
      <c r="Q9" s="97"/>
      <c r="R9" s="97"/>
      <c r="S9" s="91"/>
      <c r="T9" s="91"/>
      <c r="U9" s="97"/>
      <c r="V9" s="97"/>
      <c r="W9" s="91"/>
      <c r="X9" s="91"/>
      <c r="Y9" s="97"/>
      <c r="Z9" s="97"/>
      <c r="AA9" s="24"/>
      <c r="AB9" s="24"/>
      <c r="AC9" s="24"/>
      <c r="AD9" s="24"/>
      <c r="AE9" s="24"/>
      <c r="AF9" s="24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4.25" customHeight="1" x14ac:dyDescent="0.2">
      <c r="A10" s="96"/>
      <c r="B10" s="96"/>
      <c r="C10" s="90"/>
      <c r="D10" s="90"/>
      <c r="E10" s="97"/>
      <c r="F10" s="97"/>
      <c r="G10" s="90"/>
      <c r="H10" s="90"/>
      <c r="I10" s="97"/>
      <c r="J10" s="97"/>
      <c r="K10" s="90"/>
      <c r="L10" s="90"/>
      <c r="M10" s="97"/>
      <c r="N10" s="97"/>
      <c r="O10" s="90"/>
      <c r="P10" s="90"/>
      <c r="Q10" s="97"/>
      <c r="R10" s="97"/>
      <c r="S10" s="90"/>
      <c r="T10" s="90"/>
      <c r="U10" s="97"/>
      <c r="V10" s="97"/>
      <c r="W10" s="90"/>
      <c r="X10" s="90"/>
      <c r="Y10" s="97"/>
      <c r="Z10" s="97"/>
      <c r="AA10" s="24"/>
      <c r="AB10" s="24"/>
      <c r="AC10" s="24"/>
      <c r="AD10" s="24"/>
      <c r="AE10" s="24"/>
      <c r="AF10" s="24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4.25" customHeight="1" x14ac:dyDescent="0.2">
      <c r="A11" s="96"/>
      <c r="B11" s="96"/>
      <c r="C11" s="92"/>
      <c r="D11" s="92"/>
      <c r="E11" s="97"/>
      <c r="F11" s="97"/>
      <c r="G11" s="92"/>
      <c r="H11" s="92"/>
      <c r="I11" s="97"/>
      <c r="J11" s="97"/>
      <c r="K11" s="92"/>
      <c r="L11" s="92"/>
      <c r="M11" s="97"/>
      <c r="N11" s="97"/>
      <c r="O11" s="90"/>
      <c r="P11" s="90"/>
      <c r="Q11" s="97"/>
      <c r="R11" s="97"/>
      <c r="S11" s="92"/>
      <c r="T11" s="92"/>
      <c r="U11" s="97"/>
      <c r="V11" s="97"/>
      <c r="W11" s="92"/>
      <c r="X11" s="92"/>
      <c r="Y11" s="97"/>
      <c r="Z11" s="97"/>
      <c r="AA11" s="24"/>
      <c r="AB11" s="24"/>
      <c r="AC11" s="24"/>
      <c r="AD11" s="24"/>
      <c r="AE11" s="24"/>
      <c r="AF11" s="24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ht="14.25" customHeight="1" x14ac:dyDescent="0.2">
      <c r="A12" s="96"/>
      <c r="B12" s="96"/>
      <c r="C12" s="92"/>
      <c r="D12" s="92"/>
      <c r="E12" s="97"/>
      <c r="F12" s="97"/>
      <c r="G12" s="92"/>
      <c r="H12" s="92"/>
      <c r="I12" s="97"/>
      <c r="J12" s="97"/>
      <c r="K12" s="92"/>
      <c r="L12" s="92"/>
      <c r="M12" s="97"/>
      <c r="N12" s="97"/>
      <c r="O12" s="92"/>
      <c r="P12" s="92"/>
      <c r="Q12" s="97"/>
      <c r="R12" s="97"/>
      <c r="S12" s="92"/>
      <c r="T12" s="92"/>
      <c r="U12" s="97"/>
      <c r="V12" s="97"/>
      <c r="W12" s="90"/>
      <c r="X12" s="90"/>
      <c r="Y12" s="97"/>
      <c r="Z12" s="97"/>
      <c r="AA12" s="24"/>
      <c r="AB12" s="24"/>
      <c r="AC12" s="24"/>
      <c r="AD12" s="24"/>
      <c r="AE12" s="24"/>
      <c r="AF12" s="24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ht="14.25" customHeight="1" x14ac:dyDescent="0.2">
      <c r="A13" s="96"/>
      <c r="B13" s="96"/>
      <c r="C13" s="92"/>
      <c r="D13" s="92"/>
      <c r="E13" s="97"/>
      <c r="F13" s="97"/>
      <c r="G13" s="92"/>
      <c r="H13" s="92"/>
      <c r="I13" s="97"/>
      <c r="J13" s="97"/>
      <c r="K13" s="92"/>
      <c r="L13" s="92"/>
      <c r="M13" s="97"/>
      <c r="N13" s="97"/>
      <c r="O13" s="92"/>
      <c r="P13" s="92"/>
      <c r="Q13" s="97"/>
      <c r="R13" s="97"/>
      <c r="S13" s="92"/>
      <c r="T13" s="92"/>
      <c r="U13" s="97"/>
      <c r="V13" s="97"/>
      <c r="W13" s="92"/>
      <c r="X13" s="92"/>
      <c r="Y13" s="97"/>
      <c r="Z13" s="97"/>
      <c r="AA13" s="24"/>
      <c r="AB13" s="24"/>
      <c r="AC13" s="24"/>
      <c r="AD13" s="24"/>
      <c r="AE13" s="24"/>
      <c r="AF13" s="24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ht="14.25" customHeight="1" x14ac:dyDescent="0.2">
      <c r="A14" s="96"/>
      <c r="B14" s="96"/>
      <c r="C14" s="92"/>
      <c r="D14" s="92"/>
      <c r="E14" s="97"/>
      <c r="F14" s="97"/>
      <c r="G14" s="92"/>
      <c r="H14" s="92"/>
      <c r="I14" s="97"/>
      <c r="J14" s="97"/>
      <c r="K14" s="92"/>
      <c r="L14" s="92"/>
      <c r="M14" s="97"/>
      <c r="N14" s="97"/>
      <c r="O14" s="92"/>
      <c r="P14" s="92"/>
      <c r="Q14" s="97"/>
      <c r="R14" s="97"/>
      <c r="S14" s="92"/>
      <c r="T14" s="92"/>
      <c r="U14" s="97"/>
      <c r="V14" s="97"/>
      <c r="W14" s="92"/>
      <c r="X14" s="92"/>
      <c r="Y14" s="97"/>
      <c r="Z14" s="97"/>
      <c r="AA14" s="24"/>
      <c r="AB14" s="24"/>
      <c r="AC14" s="24"/>
      <c r="AD14" s="24"/>
      <c r="AE14" s="24"/>
      <c r="AF14" s="24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ht="14.25" customHeight="1" x14ac:dyDescent="0.2">
      <c r="A15" s="96"/>
      <c r="B15" s="96"/>
      <c r="C15" s="93"/>
      <c r="D15" s="93"/>
      <c r="E15" s="97"/>
      <c r="F15" s="97"/>
      <c r="G15" s="92"/>
      <c r="H15" s="92"/>
      <c r="I15" s="97"/>
      <c r="J15" s="97"/>
      <c r="K15" s="93"/>
      <c r="L15" s="93"/>
      <c r="M15" s="97"/>
      <c r="N15" s="97"/>
      <c r="O15" s="93"/>
      <c r="P15" s="93"/>
      <c r="Q15" s="97"/>
      <c r="R15" s="97"/>
      <c r="S15" s="93"/>
      <c r="T15" s="93"/>
      <c r="U15" s="97"/>
      <c r="V15" s="97"/>
      <c r="W15" s="93"/>
      <c r="X15" s="93"/>
      <c r="Y15" s="97"/>
      <c r="Z15" s="97"/>
      <c r="AA15" s="24"/>
      <c r="AB15" s="24"/>
      <c r="AC15" s="24"/>
      <c r="AD15" s="24"/>
      <c r="AE15" s="24"/>
      <c r="AF15" s="24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ht="14.25" customHeight="1" x14ac:dyDescent="0.2">
      <c r="A16" s="96"/>
      <c r="B16" s="96"/>
      <c r="C16" s="93"/>
      <c r="D16" s="93"/>
      <c r="E16" s="97"/>
      <c r="F16" s="97"/>
      <c r="G16" s="93"/>
      <c r="H16" s="93"/>
      <c r="I16" s="97"/>
      <c r="J16" s="97"/>
      <c r="K16" s="93"/>
      <c r="L16" s="93"/>
      <c r="M16" s="97"/>
      <c r="N16" s="97"/>
      <c r="O16" s="94"/>
      <c r="P16" s="94"/>
      <c r="Q16" s="97"/>
      <c r="R16" s="97"/>
      <c r="S16" s="93"/>
      <c r="T16" s="93"/>
      <c r="U16" s="97"/>
      <c r="V16" s="97"/>
      <c r="W16" s="93"/>
      <c r="X16" s="93"/>
      <c r="Y16" s="97"/>
      <c r="Z16" s="97"/>
      <c r="AA16" s="24"/>
      <c r="AB16" s="24"/>
      <c r="AC16" s="24"/>
      <c r="AD16" s="24"/>
      <c r="AE16" s="24"/>
      <c r="AF16" s="24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1:44" ht="14.25" customHeight="1" x14ac:dyDescent="0.2">
      <c r="A17" s="96"/>
      <c r="B17" s="96"/>
      <c r="C17" s="93"/>
      <c r="D17" s="93"/>
      <c r="E17" s="97"/>
      <c r="F17" s="97"/>
      <c r="G17" s="94"/>
      <c r="H17" s="94"/>
      <c r="I17" s="97"/>
      <c r="J17" s="97"/>
      <c r="K17" s="93"/>
      <c r="L17" s="93"/>
      <c r="M17" s="97"/>
      <c r="N17" s="97"/>
      <c r="O17" s="93"/>
      <c r="P17" s="93"/>
      <c r="Q17" s="97"/>
      <c r="R17" s="97"/>
      <c r="S17" s="93"/>
      <c r="T17" s="93"/>
      <c r="U17" s="97"/>
      <c r="V17" s="97"/>
      <c r="W17" s="93"/>
      <c r="X17" s="93"/>
      <c r="Y17" s="97"/>
      <c r="Z17" s="97"/>
      <c r="AA17" s="24"/>
      <c r="AB17" s="24"/>
      <c r="AC17" s="24"/>
      <c r="AD17" s="24"/>
      <c r="AE17" s="24"/>
      <c r="AF17" s="24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1:44" ht="14.25" customHeight="1" x14ac:dyDescent="0.2">
      <c r="A18" s="96"/>
      <c r="B18" s="96"/>
      <c r="C18" s="93"/>
      <c r="D18" s="93"/>
      <c r="E18" s="97"/>
      <c r="F18" s="97"/>
      <c r="G18" s="93"/>
      <c r="H18" s="93"/>
      <c r="I18" s="97"/>
      <c r="J18" s="97"/>
      <c r="K18" s="93"/>
      <c r="L18" s="93"/>
      <c r="M18" s="97"/>
      <c r="N18" s="97"/>
      <c r="O18" s="93"/>
      <c r="P18" s="93"/>
      <c r="Q18" s="97"/>
      <c r="R18" s="97"/>
      <c r="S18" s="94"/>
      <c r="T18" s="94"/>
      <c r="U18" s="97"/>
      <c r="V18" s="97"/>
      <c r="W18" s="94"/>
      <c r="X18" s="94"/>
      <c r="Y18" s="97"/>
      <c r="Z18" s="97"/>
      <c r="AA18" s="24"/>
      <c r="AB18" s="24"/>
      <c r="AC18" s="24"/>
      <c r="AD18" s="24"/>
      <c r="AE18" s="24"/>
      <c r="AF18" s="24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1:44" ht="14.25" customHeight="1" x14ac:dyDescent="0.2">
      <c r="A19" s="96"/>
      <c r="B19" s="96"/>
      <c r="C19" s="93"/>
      <c r="D19" s="93"/>
      <c r="E19" s="97"/>
      <c r="F19" s="97"/>
      <c r="G19" s="93"/>
      <c r="H19" s="93"/>
      <c r="I19" s="97"/>
      <c r="J19" s="97"/>
      <c r="K19" s="93"/>
      <c r="L19" s="93"/>
      <c r="M19" s="97"/>
      <c r="N19" s="97"/>
      <c r="O19" s="93"/>
      <c r="P19" s="93"/>
      <c r="Q19" s="97"/>
      <c r="R19" s="97"/>
      <c r="S19" s="93"/>
      <c r="T19" s="93"/>
      <c r="U19" s="97"/>
      <c r="V19" s="97"/>
      <c r="W19" s="94"/>
      <c r="X19" s="94"/>
      <c r="Y19" s="97"/>
      <c r="Z19" s="97"/>
      <c r="AA19" s="24"/>
      <c r="AB19" s="24"/>
      <c r="AC19" s="24"/>
      <c r="AD19" s="24"/>
      <c r="AE19" s="24"/>
      <c r="AF19" s="24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pans="1:44" ht="14.25" customHeight="1" x14ac:dyDescent="0.2">
      <c r="A20" s="96"/>
      <c r="B20" s="96"/>
      <c r="C20" s="93"/>
      <c r="D20" s="93"/>
      <c r="E20" s="97"/>
      <c r="F20" s="97"/>
      <c r="G20" s="93"/>
      <c r="H20" s="93"/>
      <c r="I20" s="97"/>
      <c r="J20" s="97"/>
      <c r="K20" s="93"/>
      <c r="L20" s="93"/>
      <c r="M20" s="97"/>
      <c r="N20" s="97"/>
      <c r="O20" s="93"/>
      <c r="P20" s="93"/>
      <c r="Q20" s="97"/>
      <c r="R20" s="97"/>
      <c r="S20" s="93"/>
      <c r="T20" s="93"/>
      <c r="U20" s="97"/>
      <c r="V20" s="97"/>
      <c r="W20" s="93"/>
      <c r="X20" s="93"/>
      <c r="Y20" s="97"/>
      <c r="Z20" s="97"/>
      <c r="AA20" s="24"/>
      <c r="AB20" s="24"/>
      <c r="AC20" s="24"/>
      <c r="AD20" s="24"/>
      <c r="AE20" s="24"/>
      <c r="AF20" s="24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pans="1:44" ht="15.75" customHeight="1" x14ac:dyDescent="0.2">
      <c r="A21" s="96"/>
      <c r="B21" s="96"/>
      <c r="C21" s="94"/>
      <c r="D21" s="94"/>
      <c r="E21" s="97"/>
      <c r="F21" s="97"/>
      <c r="G21" s="93"/>
      <c r="H21" s="93"/>
      <c r="I21" s="97"/>
      <c r="J21" s="97"/>
      <c r="K21" s="94"/>
      <c r="L21" s="94"/>
      <c r="M21" s="97"/>
      <c r="N21" s="97"/>
      <c r="O21" s="93"/>
      <c r="P21" s="93"/>
      <c r="Q21" s="97"/>
      <c r="R21" s="97"/>
      <c r="S21" s="93"/>
      <c r="T21" s="93"/>
      <c r="U21" s="97"/>
      <c r="V21" s="97"/>
      <c r="W21" s="93"/>
      <c r="X21" s="93"/>
      <c r="Y21" s="97"/>
      <c r="Z21" s="97"/>
      <c r="AA21" s="24"/>
      <c r="AB21" s="24"/>
      <c r="AC21" s="24"/>
      <c r="AD21" s="24"/>
      <c r="AE21" s="24"/>
      <c r="AF21" s="24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pans="1:44" ht="15.75" customHeight="1" x14ac:dyDescent="0.2">
      <c r="A22" s="96"/>
      <c r="B22" s="96"/>
      <c r="C22" s="93"/>
      <c r="D22" s="93"/>
      <c r="E22" s="97"/>
      <c r="F22" s="97"/>
      <c r="G22" s="93"/>
      <c r="H22" s="93"/>
      <c r="I22" s="97"/>
      <c r="J22" s="97"/>
      <c r="K22" s="93"/>
      <c r="L22" s="93"/>
      <c r="M22" s="97"/>
      <c r="N22" s="97"/>
      <c r="O22" s="93"/>
      <c r="P22" s="93"/>
      <c r="Q22" s="97"/>
      <c r="R22" s="97"/>
      <c r="S22" s="93"/>
      <c r="T22" s="93"/>
      <c r="U22" s="97"/>
      <c r="V22" s="97"/>
      <c r="W22" s="93"/>
      <c r="X22" s="93"/>
      <c r="Y22" s="97"/>
      <c r="Z22" s="97"/>
      <c r="AA22" s="24"/>
      <c r="AB22" s="24"/>
      <c r="AC22" s="24"/>
      <c r="AD22" s="24"/>
      <c r="AE22" s="24"/>
      <c r="AF22" s="24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pans="1:44" ht="15.75" customHeight="1" x14ac:dyDescent="0.2">
      <c r="A23" s="96"/>
      <c r="B23" s="96"/>
      <c r="C23" s="93"/>
      <c r="D23" s="93"/>
      <c r="E23" s="97"/>
      <c r="F23" s="97"/>
      <c r="G23" s="93"/>
      <c r="H23" s="93"/>
      <c r="I23" s="97"/>
      <c r="J23" s="97"/>
      <c r="K23" s="93"/>
      <c r="L23" s="93"/>
      <c r="M23" s="97"/>
      <c r="N23" s="97"/>
      <c r="O23" s="93"/>
      <c r="P23" s="95"/>
      <c r="Q23" s="97"/>
      <c r="R23" s="97"/>
      <c r="S23" s="93"/>
      <c r="T23" s="93"/>
      <c r="U23" s="97"/>
      <c r="V23" s="97"/>
      <c r="W23" s="93"/>
      <c r="X23" s="93"/>
      <c r="Y23" s="97"/>
      <c r="Z23" s="97"/>
      <c r="AA23" s="24"/>
      <c r="AB23" s="24"/>
      <c r="AC23" s="24"/>
      <c r="AD23" s="24"/>
      <c r="AE23" s="24"/>
      <c r="AF23" s="24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">
      <c r="A24" s="96"/>
      <c r="B24" s="96"/>
      <c r="C24" s="111"/>
      <c r="D24" s="111"/>
      <c r="E24" s="97"/>
      <c r="F24" s="97"/>
      <c r="G24" s="108"/>
      <c r="H24" s="109"/>
      <c r="I24" s="97"/>
      <c r="J24" s="97"/>
      <c r="K24" s="111"/>
      <c r="L24" s="111"/>
      <c r="M24" s="97"/>
      <c r="N24" s="97"/>
      <c r="O24" s="109"/>
      <c r="P24" s="109"/>
      <c r="Q24" s="97"/>
      <c r="R24" s="97"/>
      <c r="S24" s="109"/>
      <c r="T24" s="109"/>
      <c r="U24" s="97"/>
      <c r="V24" s="97"/>
      <c r="W24" s="109"/>
      <c r="X24" s="109"/>
      <c r="Y24" s="97"/>
      <c r="Z24" s="97"/>
      <c r="AA24" s="24"/>
      <c r="AB24" s="24"/>
      <c r="AC24" s="24"/>
      <c r="AD24" s="24"/>
      <c r="AE24" s="24"/>
      <c r="AF24" s="24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">
      <c r="A25" s="43"/>
      <c r="B25" s="4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4.25" customHeight="1" x14ac:dyDescent="0.2">
      <c r="A26" s="169" t="s">
        <v>70</v>
      </c>
      <c r="B26" s="132"/>
      <c r="C26" s="170">
        <f>COUNT(C9:C24)</f>
        <v>0</v>
      </c>
      <c r="D26" s="131"/>
      <c r="E26" s="131"/>
      <c r="F26" s="132"/>
      <c r="G26" s="170">
        <f>COUNT(G9:G24)</f>
        <v>0</v>
      </c>
      <c r="H26" s="131"/>
      <c r="I26" s="131"/>
      <c r="J26" s="132"/>
      <c r="K26" s="170">
        <f>COUNT(K9:K24)</f>
        <v>0</v>
      </c>
      <c r="L26" s="131"/>
      <c r="M26" s="131"/>
      <c r="N26" s="132"/>
      <c r="O26" s="170">
        <f>COUNT(O9:O24)</f>
        <v>0</v>
      </c>
      <c r="P26" s="131"/>
      <c r="Q26" s="131"/>
      <c r="R26" s="132"/>
      <c r="S26" s="170">
        <f>COUNT(S9:S24)</f>
        <v>0</v>
      </c>
      <c r="T26" s="131"/>
      <c r="U26" s="131"/>
      <c r="V26" s="132"/>
      <c r="W26" s="170">
        <f>COUNT(W9:W24)</f>
        <v>0</v>
      </c>
      <c r="X26" s="131"/>
      <c r="Y26" s="131"/>
      <c r="Z26" s="132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1:44" ht="15.75" customHeight="1" x14ac:dyDescent="0.2">
      <c r="A27" s="169" t="s">
        <v>30</v>
      </c>
      <c r="B27" s="132"/>
      <c r="C27" s="168">
        <f>COUNTIF(C9:C23,"Absent")</f>
        <v>0</v>
      </c>
      <c r="D27" s="131"/>
      <c r="E27" s="131"/>
      <c r="F27" s="132"/>
      <c r="G27" s="168">
        <f>COUNTIF(G9:G23,"Absent")</f>
        <v>0</v>
      </c>
      <c r="H27" s="131"/>
      <c r="I27" s="131"/>
      <c r="J27" s="132"/>
      <c r="K27" s="168">
        <f>COUNTIF(K9:K23,"Absent")</f>
        <v>0</v>
      </c>
      <c r="L27" s="131"/>
      <c r="M27" s="131"/>
      <c r="N27" s="132"/>
      <c r="O27" s="168">
        <f>COUNTIF(O9:O23,"Absent")</f>
        <v>0</v>
      </c>
      <c r="P27" s="131"/>
      <c r="Q27" s="131"/>
      <c r="R27" s="132"/>
      <c r="S27" s="168">
        <f>COUNTIF(S9:S23,"Absent")</f>
        <v>0</v>
      </c>
      <c r="T27" s="131"/>
      <c r="U27" s="131"/>
      <c r="V27" s="132"/>
      <c r="W27" s="168">
        <f>COUNTIF(W9:W23,"Absent")</f>
        <v>0</v>
      </c>
      <c r="X27" s="131"/>
      <c r="Y27" s="131"/>
      <c r="Z27" s="132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1:44" ht="15.75" customHeight="1" x14ac:dyDescent="0.2">
      <c r="A28" s="167" t="s">
        <v>24</v>
      </c>
      <c r="B28" s="132"/>
      <c r="C28" s="168">
        <f>COUNTIF(C9:C23,"Leave")+COUNTIF(C9:C23,"VL")</f>
        <v>0</v>
      </c>
      <c r="D28" s="131"/>
      <c r="E28" s="131"/>
      <c r="F28" s="132"/>
      <c r="G28" s="168">
        <f>COUNTIF(G9:G23,"Leave")+COUNTIF(G9:G23,"VL")</f>
        <v>0</v>
      </c>
      <c r="H28" s="131"/>
      <c r="I28" s="131"/>
      <c r="J28" s="132"/>
      <c r="K28" s="168">
        <f>COUNTIF(K9:K23,"Leave")+COUNTIF(K9:K23,"VL")</f>
        <v>0</v>
      </c>
      <c r="L28" s="131"/>
      <c r="M28" s="131"/>
      <c r="N28" s="132"/>
      <c r="O28" s="168">
        <f>COUNTIF(O9:O23,"Leave")+COUNTIF(O9:O23,"VL")</f>
        <v>0</v>
      </c>
      <c r="P28" s="131"/>
      <c r="Q28" s="131"/>
      <c r="R28" s="132"/>
      <c r="S28" s="168">
        <f>COUNTIF(S9:S23,"Leave")+COUNTIF(S9:S23,"VL")</f>
        <v>0</v>
      </c>
      <c r="T28" s="131"/>
      <c r="U28" s="131"/>
      <c r="V28" s="132"/>
      <c r="W28" s="168">
        <f>COUNTIF(W9:W23,"Leave")+COUNTIF(W9:W23,"VL")</f>
        <v>0</v>
      </c>
      <c r="X28" s="131"/>
      <c r="Y28" s="131"/>
      <c r="Z28" s="132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1:44" ht="15.75" customHeight="1" x14ac:dyDescent="0.2">
      <c r="A29" s="167" t="s">
        <v>26</v>
      </c>
      <c r="B29" s="132"/>
      <c r="C29" s="171">
        <f>COUNTIF(C9:C23,"SL")</f>
        <v>0</v>
      </c>
      <c r="D29" s="131"/>
      <c r="E29" s="131"/>
      <c r="F29" s="132"/>
      <c r="G29" s="171">
        <f>COUNTIF(G9:G23,"SL")</f>
        <v>0</v>
      </c>
      <c r="H29" s="131"/>
      <c r="I29" s="131"/>
      <c r="J29" s="132"/>
      <c r="K29" s="171">
        <f>COUNTIF(K9:K23,"SL")</f>
        <v>0</v>
      </c>
      <c r="L29" s="131"/>
      <c r="M29" s="131"/>
      <c r="N29" s="132"/>
      <c r="O29" s="171">
        <f>COUNTIF(O9:O23,"SL")</f>
        <v>0</v>
      </c>
      <c r="P29" s="131"/>
      <c r="Q29" s="131"/>
      <c r="R29" s="132"/>
      <c r="S29" s="171">
        <f>COUNTIF(S9:S23,"SL")</f>
        <v>0</v>
      </c>
      <c r="T29" s="131"/>
      <c r="U29" s="131"/>
      <c r="V29" s="132"/>
      <c r="W29" s="171">
        <f>COUNTIF(W9:W23,"SL")</f>
        <v>0</v>
      </c>
      <c r="X29" s="131"/>
      <c r="Y29" s="131"/>
      <c r="Z29" s="132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1:44" ht="15.75" customHeight="1" x14ac:dyDescent="0.2">
      <c r="A30" s="167" t="s">
        <v>76</v>
      </c>
      <c r="B30" s="132"/>
      <c r="C30" s="168">
        <f t="array" ref="C30">SUM(COUNTIF(W9:W23,{"ML","PL"}))</f>
        <v>0</v>
      </c>
      <c r="D30" s="131"/>
      <c r="E30" s="131"/>
      <c r="F30" s="132"/>
      <c r="G30" s="168">
        <f t="array" ref="G30">SUM(COUNTIF(W9:W23,{"ML","PL"}))</f>
        <v>0</v>
      </c>
      <c r="H30" s="131"/>
      <c r="I30" s="131"/>
      <c r="J30" s="132"/>
      <c r="K30" s="168">
        <f t="array" ref="K30">SUM(COUNTIF(AA9:AA23,{"ML","PL"}))</f>
        <v>0</v>
      </c>
      <c r="L30" s="131"/>
      <c r="M30" s="131"/>
      <c r="N30" s="132"/>
      <c r="O30" s="168">
        <f t="array" ref="O30">SUM(COUNTIF(AD9:AD23,{"ML","PL"}))</f>
        <v>0</v>
      </c>
      <c r="P30" s="131"/>
      <c r="Q30" s="131"/>
      <c r="R30" s="132"/>
      <c r="S30" s="168">
        <f t="array" ref="S30">SUM(COUNTIF(AG9:AG23,{"ML","PL"}))</f>
        <v>0</v>
      </c>
      <c r="T30" s="131"/>
      <c r="U30" s="131"/>
      <c r="V30" s="132"/>
      <c r="W30" s="168">
        <f t="array" ref="W30">SUM(COUNTIF(AJ9:AJ23,{"ML","PL"}))</f>
        <v>0</v>
      </c>
      <c r="X30" s="131"/>
      <c r="Y30" s="131"/>
      <c r="Z30" s="132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1:44" ht="15.75" customHeight="1" x14ac:dyDescent="0.25">
      <c r="A31" s="2"/>
      <c r="B31" s="2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6"/>
      <c r="R31" s="6"/>
      <c r="S31" s="24"/>
      <c r="T31" s="24"/>
      <c r="U31" s="6"/>
      <c r="V31" s="6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1:44" ht="15.75" customHeight="1" x14ac:dyDescent="0.2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1:44" ht="15.75" customHeight="1" x14ac:dyDescent="0.2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pans="1:44" ht="15.75" customHeight="1" x14ac:dyDescent="0.2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1:44" ht="15.75" customHeight="1" x14ac:dyDescent="0.2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1:44" ht="15.75" customHeight="1" x14ac:dyDescent="0.2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1:44" ht="15.75" customHeight="1" x14ac:dyDescent="0.2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1:44" ht="15.75" customHeight="1" x14ac:dyDescent="0.2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pans="1:44" ht="15.75" customHeight="1" x14ac:dyDescent="0.2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1:44" ht="15.75" customHeight="1" x14ac:dyDescent="0.2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1:44" ht="15.75" customHeight="1" x14ac:dyDescent="0.2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1:44" ht="15.75" customHeight="1" x14ac:dyDescent="0.2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1:44" ht="15.75" customHeight="1" x14ac:dyDescent="0.2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1:44" ht="15.75" customHeight="1" x14ac:dyDescent="0.2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1:44" ht="15.75" customHeight="1" x14ac:dyDescent="0.2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pans="1:44" ht="15.75" customHeight="1" x14ac:dyDescent="0.2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pans="1:44" ht="15.75" customHeight="1" x14ac:dyDescent="0.2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pans="1:44" ht="15.75" customHeight="1" x14ac:dyDescent="0.2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pans="1:44" ht="15.75" customHeight="1" x14ac:dyDescent="0.2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6"/>
      <c r="P49" s="6"/>
      <c r="Q49" s="24"/>
      <c r="R49" s="24"/>
      <c r="S49" s="6"/>
      <c r="T49" s="6"/>
      <c r="U49" s="24"/>
      <c r="V49" s="24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pans="1:44" ht="15.75" customHeight="1" x14ac:dyDescent="0.2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6"/>
      <c r="P50" s="6"/>
      <c r="Q50" s="24"/>
      <c r="R50" s="24"/>
      <c r="S50" s="6"/>
      <c r="T50" s="6"/>
      <c r="U50" s="24"/>
      <c r="V50" s="24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pans="1:44" ht="15.75" customHeight="1" x14ac:dyDescent="0.2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6"/>
      <c r="P51" s="6"/>
      <c r="Q51" s="24"/>
      <c r="R51" s="24"/>
      <c r="S51" s="6"/>
      <c r="T51" s="6"/>
      <c r="U51" s="24"/>
      <c r="V51" s="24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ht="15.75" customHeight="1" x14ac:dyDescent="0.2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6"/>
      <c r="P52" s="6"/>
      <c r="Q52" s="24"/>
      <c r="R52" s="24"/>
      <c r="S52" s="6"/>
      <c r="T52" s="6"/>
      <c r="U52" s="24"/>
      <c r="V52" s="24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pans="1:44" ht="15.75" customHeight="1" x14ac:dyDescent="0.25">
      <c r="A53" s="2"/>
      <c r="B53" s="2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 ht="15.75" customHeight="1" x14ac:dyDescent="0.25">
      <c r="A54" s="2"/>
      <c r="B54" s="2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pans="1:44" ht="15.75" customHeight="1" x14ac:dyDescent="0.25">
      <c r="A55" s="2"/>
      <c r="B55" s="2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pans="1:44" ht="15.75" customHeight="1" x14ac:dyDescent="0.25">
      <c r="A56" s="2"/>
      <c r="B56" s="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pans="1:44" ht="15.75" customHeight="1" x14ac:dyDescent="0.25">
      <c r="A57" s="2"/>
      <c r="B57" s="2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pans="1:44" ht="15.75" customHeight="1" x14ac:dyDescent="0.25">
      <c r="A58" s="2"/>
      <c r="B58" s="2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"/>
      <c r="R58" s="2"/>
      <c r="S58" s="24"/>
      <c r="T58" s="24"/>
      <c r="U58" s="2"/>
      <c r="V58" s="2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pans="1:44" ht="15.75" customHeight="1" x14ac:dyDescent="0.25">
      <c r="A59" s="2"/>
      <c r="B59" s="2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"/>
      <c r="R59" s="2"/>
      <c r="S59" s="24"/>
      <c r="T59" s="24"/>
      <c r="U59" s="2"/>
      <c r="V59" s="2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pans="1:44" ht="15.75" customHeight="1" x14ac:dyDescent="0.25">
      <c r="A60" s="2"/>
      <c r="B60" s="2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"/>
      <c r="R60" s="2"/>
      <c r="S60" s="24"/>
      <c r="T60" s="24"/>
      <c r="U60" s="2"/>
      <c r="V60" s="2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15.75" customHeight="1" x14ac:dyDescent="0.25">
      <c r="A61" s="2"/>
      <c r="B61" s="2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"/>
      <c r="R61" s="2"/>
      <c r="S61" s="24"/>
      <c r="T61" s="24"/>
      <c r="U61" s="2"/>
      <c r="V61" s="2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4"/>
      <c r="Z62" s="24"/>
      <c r="AA62" s="24"/>
      <c r="AB62" s="24"/>
      <c r="AC62" s="24"/>
      <c r="AD62" s="24"/>
      <c r="AE62" s="24"/>
      <c r="AF62" s="24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6"/>
      <c r="R94" s="6"/>
      <c r="S94" s="2"/>
      <c r="T94" s="2"/>
      <c r="U94" s="6"/>
      <c r="V94" s="6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6"/>
      <c r="R95" s="6"/>
      <c r="S95" s="2"/>
      <c r="T95" s="2"/>
      <c r="U95" s="6"/>
      <c r="V95" s="6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6"/>
      <c r="R96" s="6"/>
      <c r="S96" s="2"/>
      <c r="T96" s="2"/>
      <c r="U96" s="6"/>
      <c r="V96" s="6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6"/>
      <c r="R97" s="6"/>
      <c r="S97" s="2"/>
      <c r="T97" s="2"/>
      <c r="U97" s="6"/>
      <c r="V97" s="6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15.75" customHeight="1" x14ac:dyDescent="0.25">
      <c r="A98" s="2"/>
      <c r="B98" s="2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pans="1:44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pans="1:44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pans="1:44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pans="1:44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pans="1:44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pans="1:44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pans="1:44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pans="1:44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pans="1:44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pans="1:44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pans="1:44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pans="1:44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pans="1:44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pans="1:44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pans="1:44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pans="1:44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pans="1:44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pans="1:44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pans="1:44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pans="1:44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pans="1:44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</row>
    <row r="187" spans="1:44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pans="1:44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pans="1:44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pans="1:44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pans="1:44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pans="1:44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pans="1:44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pans="1:44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pans="1:44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pans="1:44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pans="1:44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pans="1:44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pans="1:44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pans="1:44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pans="1:44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pans="1:44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pans="1:44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pans="1:44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pans="1:44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pans="1:44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pans="1:44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pans="1:44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pans="1:44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pans="1:44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pans="1:44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pans="1:44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pans="1:44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pans="1:44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pans="1:44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pans="1:44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pans="1:44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pans="1:44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pans="1:44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pans="1:44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pans="1:44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pans="1:44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pans="1:44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pans="1:44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pans="1:44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pans="1:44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pans="1:44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S227" s="6"/>
      <c r="T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pans="1:44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S228" s="6"/>
      <c r="T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pans="1:44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S229" s="6"/>
      <c r="T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pans="1:44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S230" s="6"/>
      <c r="T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pans="1:44" ht="14.25" customHeight="1" x14ac:dyDescent="0.2"/>
    <row r="232" spans="1:44" ht="14.25" customHeight="1" x14ac:dyDescent="0.2"/>
    <row r="233" spans="1:44" ht="14.25" customHeight="1" x14ac:dyDescent="0.2"/>
    <row r="234" spans="1:44" ht="14.25" customHeight="1" x14ac:dyDescent="0.2"/>
    <row r="235" spans="1:44" ht="14.25" customHeight="1" x14ac:dyDescent="0.2"/>
    <row r="236" spans="1:44" ht="14.25" customHeight="1" x14ac:dyDescent="0.2"/>
    <row r="237" spans="1:44" ht="14.25" customHeight="1" x14ac:dyDescent="0.2"/>
    <row r="238" spans="1:44" ht="14.25" customHeight="1" x14ac:dyDescent="0.2"/>
    <row r="239" spans="1:44" ht="14.25" customHeight="1" x14ac:dyDescent="0.2"/>
    <row r="240" spans="1:44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0">
    <mergeCell ref="S28:V28"/>
    <mergeCell ref="W28:Z28"/>
    <mergeCell ref="A30:B30"/>
    <mergeCell ref="C30:F30"/>
    <mergeCell ref="G30:J30"/>
    <mergeCell ref="K30:N30"/>
    <mergeCell ref="O30:R30"/>
    <mergeCell ref="S30:V30"/>
    <mergeCell ref="W30:Z30"/>
    <mergeCell ref="A29:B29"/>
    <mergeCell ref="C29:F29"/>
    <mergeCell ref="G29:J29"/>
    <mergeCell ref="K29:N29"/>
    <mergeCell ref="O29:R29"/>
    <mergeCell ref="S29:V29"/>
    <mergeCell ref="W29:Z29"/>
    <mergeCell ref="A28:B28"/>
    <mergeCell ref="C28:F28"/>
    <mergeCell ref="G28:J28"/>
    <mergeCell ref="K28:N28"/>
    <mergeCell ref="O28:R28"/>
    <mergeCell ref="S26:V26"/>
    <mergeCell ref="W26:Z26"/>
    <mergeCell ref="A27:B27"/>
    <mergeCell ref="C27:F27"/>
    <mergeCell ref="G27:J27"/>
    <mergeCell ref="K27:N27"/>
    <mergeCell ref="O27:R27"/>
    <mergeCell ref="S27:V27"/>
    <mergeCell ref="W27:Z27"/>
    <mergeCell ref="A26:B26"/>
    <mergeCell ref="C26:F26"/>
    <mergeCell ref="G26:J26"/>
    <mergeCell ref="K26:N26"/>
    <mergeCell ref="O26:R26"/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</mergeCells>
  <pageMargins left="0.7" right="0.7" top="1.9312499999999999" bottom="1.9312499999999999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1000"/>
  <sheetViews>
    <sheetView workbookViewId="0">
      <pane xSplit="2" ySplit="6" topLeftCell="M7" activePane="bottomRight" state="frozen"/>
      <selection pane="topRight" activeCell="C1" sqref="C1"/>
      <selection pane="bottomLeft" activeCell="A7" sqref="A7"/>
      <selection pane="bottomRight" activeCell="A9" sqref="A9:B24"/>
    </sheetView>
  </sheetViews>
  <sheetFormatPr defaultColWidth="12.625" defaultRowHeight="15" customHeight="1" x14ac:dyDescent="0.2"/>
  <cols>
    <col min="1" max="1" width="11.5" customWidth="1"/>
    <col min="2" max="2" width="6.625" customWidth="1"/>
    <col min="3" max="3" width="10.875" customWidth="1"/>
    <col min="4" max="4" width="9.25" customWidth="1"/>
    <col min="5" max="6" width="13" customWidth="1"/>
    <col min="7" max="7" width="12.125" customWidth="1"/>
    <col min="8" max="8" width="10.625" customWidth="1"/>
    <col min="11" max="11" width="12" customWidth="1"/>
    <col min="12" max="14" width="12.75" customWidth="1"/>
    <col min="15" max="15" width="11.625" customWidth="1"/>
    <col min="16" max="18" width="12.375" customWidth="1"/>
    <col min="19" max="19" width="10.75" customWidth="1"/>
    <col min="20" max="22" width="12" customWidth="1"/>
    <col min="23" max="24" width="8.375" customWidth="1"/>
    <col min="25" max="26" width="11.75" customWidth="1"/>
    <col min="27" max="28" width="8.375" customWidth="1"/>
    <col min="29" max="30" width="11.75" customWidth="1"/>
    <col min="31" max="34" width="8.375" customWidth="1"/>
    <col min="35" max="48" width="13.875" customWidth="1"/>
  </cols>
  <sheetData>
    <row r="1" spans="1:48" ht="14.25" customHeight="1" x14ac:dyDescent="0.25">
      <c r="A1" s="1" t="s">
        <v>2</v>
      </c>
      <c r="B1" s="2"/>
      <c r="C1" s="3" t="s">
        <v>64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48" ht="14.25" customHeight="1" x14ac:dyDescent="0.25">
      <c r="A2" s="7" t="s">
        <v>7</v>
      </c>
      <c r="B2" s="2"/>
      <c r="C2" s="3" t="s">
        <v>165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</row>
    <row r="3" spans="1:48" ht="14.25" customHeight="1" x14ac:dyDescent="0.25">
      <c r="A3" s="7" t="s">
        <v>10</v>
      </c>
      <c r="B3" s="2"/>
      <c r="C3" s="10" t="s">
        <v>65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</row>
    <row r="4" spans="1:48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</row>
    <row r="5" spans="1:4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</row>
    <row r="6" spans="1:4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</row>
    <row r="7" spans="1:48" ht="15" customHeight="1" x14ac:dyDescent="0.25">
      <c r="A7" s="164" t="s">
        <v>25</v>
      </c>
      <c r="B7" s="132"/>
      <c r="C7" s="174" t="s">
        <v>64</v>
      </c>
      <c r="D7" s="132"/>
      <c r="E7" s="165" t="s">
        <v>29</v>
      </c>
      <c r="F7" s="166"/>
      <c r="G7" s="174" t="s">
        <v>86</v>
      </c>
      <c r="H7" s="132"/>
      <c r="I7" s="165" t="s">
        <v>29</v>
      </c>
      <c r="J7" s="166"/>
      <c r="K7" s="174" t="s">
        <v>87</v>
      </c>
      <c r="L7" s="132"/>
      <c r="M7" s="165" t="s">
        <v>29</v>
      </c>
      <c r="N7" s="166"/>
      <c r="O7" s="174" t="s">
        <v>98</v>
      </c>
      <c r="P7" s="132"/>
      <c r="Q7" s="165" t="s">
        <v>29</v>
      </c>
      <c r="R7" s="166"/>
      <c r="S7" s="174" t="s">
        <v>82</v>
      </c>
      <c r="T7" s="132"/>
      <c r="U7" s="165" t="s">
        <v>29</v>
      </c>
      <c r="V7" s="166"/>
      <c r="W7" s="174" t="s">
        <v>92</v>
      </c>
      <c r="X7" s="132"/>
      <c r="Y7" s="165" t="s">
        <v>29</v>
      </c>
      <c r="Z7" s="166"/>
      <c r="AA7" s="174" t="s">
        <v>110</v>
      </c>
      <c r="AB7" s="132"/>
      <c r="AC7" s="165" t="s">
        <v>29</v>
      </c>
      <c r="AD7" s="166"/>
      <c r="AE7" s="163"/>
      <c r="AF7" s="125"/>
      <c r="AG7" s="2"/>
      <c r="AH7" s="2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</row>
    <row r="8" spans="1:48" ht="15" customHeight="1" x14ac:dyDescent="0.25">
      <c r="A8" s="20" t="str">
        <f>CLEAN(BUUG!A8)</f>
        <v>#</v>
      </c>
      <c r="B8" s="20" t="s">
        <v>34</v>
      </c>
      <c r="C8" s="65" t="s">
        <v>35</v>
      </c>
      <c r="D8" s="65" t="s">
        <v>36</v>
      </c>
      <c r="E8" s="22" t="s">
        <v>35</v>
      </c>
      <c r="F8" s="22" t="s">
        <v>36</v>
      </c>
      <c r="G8" s="65" t="s">
        <v>35</v>
      </c>
      <c r="H8" s="65" t="s">
        <v>36</v>
      </c>
      <c r="I8" s="22" t="s">
        <v>35</v>
      </c>
      <c r="J8" s="22" t="s">
        <v>36</v>
      </c>
      <c r="K8" s="65" t="s">
        <v>35</v>
      </c>
      <c r="L8" s="65" t="s">
        <v>36</v>
      </c>
      <c r="M8" s="22" t="s">
        <v>35</v>
      </c>
      <c r="N8" s="22" t="s">
        <v>36</v>
      </c>
      <c r="O8" s="65" t="s">
        <v>35</v>
      </c>
      <c r="P8" s="65" t="s">
        <v>36</v>
      </c>
      <c r="Q8" s="22" t="s">
        <v>35</v>
      </c>
      <c r="R8" s="22" t="s">
        <v>36</v>
      </c>
      <c r="S8" s="65" t="s">
        <v>35</v>
      </c>
      <c r="T8" s="65" t="s">
        <v>36</v>
      </c>
      <c r="U8" s="22" t="s">
        <v>35</v>
      </c>
      <c r="V8" s="22" t="s">
        <v>36</v>
      </c>
      <c r="W8" s="65" t="s">
        <v>35</v>
      </c>
      <c r="X8" s="65" t="s">
        <v>36</v>
      </c>
      <c r="Y8" s="22" t="s">
        <v>35</v>
      </c>
      <c r="Z8" s="22" t="s">
        <v>36</v>
      </c>
      <c r="AA8" s="65" t="s">
        <v>35</v>
      </c>
      <c r="AB8" s="65" t="s">
        <v>36</v>
      </c>
      <c r="AC8" s="22" t="s">
        <v>35</v>
      </c>
      <c r="AD8" s="22" t="s">
        <v>36</v>
      </c>
      <c r="AE8" s="19"/>
      <c r="AF8" s="19"/>
      <c r="AG8" s="2"/>
      <c r="AH8" s="2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</row>
    <row r="9" spans="1:48" ht="14.25" customHeight="1" x14ac:dyDescent="0.2">
      <c r="A9" s="96"/>
      <c r="B9" s="112"/>
      <c r="C9" s="113"/>
      <c r="D9" s="114"/>
      <c r="E9" s="97"/>
      <c r="F9" s="115"/>
      <c r="G9" s="116"/>
      <c r="H9" s="116"/>
      <c r="I9" s="117"/>
      <c r="J9" s="115"/>
      <c r="K9" s="116"/>
      <c r="L9" s="113"/>
      <c r="M9" s="117"/>
      <c r="N9" s="97"/>
      <c r="O9" s="118"/>
      <c r="P9" s="118"/>
      <c r="Q9" s="97"/>
      <c r="R9" s="97"/>
      <c r="S9" s="118"/>
      <c r="T9" s="118"/>
      <c r="U9" s="97"/>
      <c r="V9" s="97"/>
      <c r="W9" s="118"/>
      <c r="X9" s="118"/>
      <c r="Y9" s="97"/>
      <c r="Z9" s="97"/>
      <c r="AA9" s="118"/>
      <c r="AB9" s="118"/>
      <c r="AC9" s="97"/>
      <c r="AD9" s="97"/>
      <c r="AE9" s="24"/>
      <c r="AF9" s="24"/>
      <c r="AG9" s="24"/>
      <c r="AH9" s="24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</row>
    <row r="10" spans="1:48" ht="14.25" customHeight="1" x14ac:dyDescent="0.2">
      <c r="A10" s="96"/>
      <c r="B10" s="96"/>
      <c r="C10" s="119"/>
      <c r="D10" s="118"/>
      <c r="E10" s="97"/>
      <c r="F10" s="97"/>
      <c r="G10" s="119"/>
      <c r="H10" s="119"/>
      <c r="I10" s="97"/>
      <c r="J10" s="97"/>
      <c r="K10" s="119"/>
      <c r="L10" s="119"/>
      <c r="M10" s="97"/>
      <c r="N10" s="97"/>
      <c r="O10" s="118"/>
      <c r="P10" s="118"/>
      <c r="Q10" s="97"/>
      <c r="R10" s="97"/>
      <c r="S10" s="118"/>
      <c r="T10" s="118"/>
      <c r="U10" s="97"/>
      <c r="V10" s="97"/>
      <c r="W10" s="118"/>
      <c r="X10" s="118"/>
      <c r="Y10" s="97"/>
      <c r="Z10" s="97"/>
      <c r="AA10" s="118"/>
      <c r="AB10" s="118"/>
      <c r="AC10" s="97"/>
      <c r="AD10" s="97"/>
      <c r="AE10" s="24"/>
      <c r="AF10" s="24"/>
      <c r="AG10" s="24"/>
      <c r="AH10" s="24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</row>
    <row r="11" spans="1:48" ht="14.25" customHeight="1" x14ac:dyDescent="0.2">
      <c r="A11" s="96"/>
      <c r="B11" s="96"/>
      <c r="C11" s="118"/>
      <c r="D11" s="118"/>
      <c r="E11" s="97"/>
      <c r="F11" s="97"/>
      <c r="G11" s="118"/>
      <c r="H11" s="118"/>
      <c r="I11" s="97"/>
      <c r="J11" s="97"/>
      <c r="K11" s="118"/>
      <c r="L11" s="118"/>
      <c r="M11" s="97"/>
      <c r="N11" s="97"/>
      <c r="O11" s="118"/>
      <c r="P11" s="118"/>
      <c r="Q11" s="97"/>
      <c r="R11" s="97"/>
      <c r="S11" s="118"/>
      <c r="T11" s="118"/>
      <c r="U11" s="97"/>
      <c r="V11" s="97"/>
      <c r="W11" s="118"/>
      <c r="X11" s="118"/>
      <c r="Y11" s="97"/>
      <c r="Z11" s="97"/>
      <c r="AA11" s="118"/>
      <c r="AB11" s="118"/>
      <c r="AC11" s="97"/>
      <c r="AD11" s="97"/>
      <c r="AE11" s="24"/>
      <c r="AF11" s="24"/>
      <c r="AG11" s="24"/>
      <c r="AH11" s="24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</row>
    <row r="12" spans="1:48" ht="14.25" customHeight="1" x14ac:dyDescent="0.2">
      <c r="A12" s="96"/>
      <c r="B12" s="96"/>
      <c r="C12" s="118"/>
      <c r="D12" s="118"/>
      <c r="E12" s="97"/>
      <c r="F12" s="97"/>
      <c r="G12" s="118"/>
      <c r="H12" s="118"/>
      <c r="I12" s="97"/>
      <c r="J12" s="97"/>
      <c r="K12" s="118"/>
      <c r="L12" s="118"/>
      <c r="M12" s="97"/>
      <c r="N12" s="97"/>
      <c r="O12" s="118"/>
      <c r="P12" s="118"/>
      <c r="Q12" s="97"/>
      <c r="R12" s="97"/>
      <c r="S12" s="118"/>
      <c r="T12" s="118"/>
      <c r="U12" s="97"/>
      <c r="V12" s="97"/>
      <c r="W12" s="118"/>
      <c r="X12" s="118"/>
      <c r="Y12" s="97"/>
      <c r="Z12" s="97"/>
      <c r="AA12" s="118"/>
      <c r="AB12" s="118"/>
      <c r="AC12" s="97"/>
      <c r="AD12" s="97"/>
      <c r="AE12" s="24"/>
      <c r="AF12" s="24"/>
      <c r="AG12" s="24"/>
      <c r="AH12" s="24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</row>
    <row r="13" spans="1:48" ht="14.25" customHeight="1" x14ac:dyDescent="0.2">
      <c r="A13" s="96"/>
      <c r="B13" s="96"/>
      <c r="C13" s="118"/>
      <c r="D13" s="118"/>
      <c r="E13" s="97"/>
      <c r="F13" s="97"/>
      <c r="G13" s="118"/>
      <c r="H13" s="118"/>
      <c r="I13" s="97"/>
      <c r="J13" s="97"/>
      <c r="K13" s="118"/>
      <c r="L13" s="118"/>
      <c r="M13" s="97"/>
      <c r="N13" s="97"/>
      <c r="O13" s="118"/>
      <c r="P13" s="118"/>
      <c r="Q13" s="97"/>
      <c r="R13" s="97"/>
      <c r="S13" s="118"/>
      <c r="T13" s="118"/>
      <c r="U13" s="97"/>
      <c r="V13" s="97"/>
      <c r="W13" s="118"/>
      <c r="X13" s="118"/>
      <c r="Y13" s="97"/>
      <c r="Z13" s="97"/>
      <c r="AA13" s="118"/>
      <c r="AB13" s="118"/>
      <c r="AC13" s="97"/>
      <c r="AD13" s="97"/>
      <c r="AE13" s="24"/>
      <c r="AF13" s="24"/>
      <c r="AG13" s="24"/>
      <c r="AH13" s="24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</row>
    <row r="14" spans="1:48" ht="14.25" customHeight="1" x14ac:dyDescent="0.2">
      <c r="A14" s="96"/>
      <c r="B14" s="96"/>
      <c r="C14" s="118"/>
      <c r="D14" s="118"/>
      <c r="E14" s="97"/>
      <c r="F14" s="97"/>
      <c r="G14" s="118"/>
      <c r="H14" s="118"/>
      <c r="I14" s="97"/>
      <c r="J14" s="97"/>
      <c r="K14" s="118"/>
      <c r="L14" s="118"/>
      <c r="M14" s="97"/>
      <c r="N14" s="97"/>
      <c r="O14" s="118"/>
      <c r="P14" s="118"/>
      <c r="Q14" s="97"/>
      <c r="R14" s="97"/>
      <c r="S14" s="118"/>
      <c r="T14" s="118"/>
      <c r="U14" s="97"/>
      <c r="V14" s="97"/>
      <c r="W14" s="118"/>
      <c r="X14" s="118"/>
      <c r="Y14" s="97"/>
      <c r="Z14" s="97"/>
      <c r="AA14" s="118"/>
      <c r="AB14" s="118"/>
      <c r="AC14" s="97"/>
      <c r="AD14" s="97"/>
      <c r="AE14" s="24"/>
      <c r="AF14" s="24"/>
      <c r="AG14" s="24"/>
      <c r="AH14" s="24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</row>
    <row r="15" spans="1:48" ht="14.25" customHeight="1" x14ac:dyDescent="0.2">
      <c r="A15" s="96"/>
      <c r="B15" s="96"/>
      <c r="C15" s="118"/>
      <c r="D15" s="118"/>
      <c r="E15" s="97"/>
      <c r="F15" s="97"/>
      <c r="G15" s="118"/>
      <c r="H15" s="118"/>
      <c r="I15" s="97"/>
      <c r="J15" s="97"/>
      <c r="K15" s="118"/>
      <c r="L15" s="118"/>
      <c r="M15" s="97"/>
      <c r="N15" s="97"/>
      <c r="O15" s="118"/>
      <c r="P15" s="118"/>
      <c r="Q15" s="97"/>
      <c r="R15" s="97"/>
      <c r="S15" s="118"/>
      <c r="T15" s="118"/>
      <c r="U15" s="97"/>
      <c r="V15" s="97"/>
      <c r="W15" s="118"/>
      <c r="X15" s="118"/>
      <c r="Y15" s="97"/>
      <c r="Z15" s="97"/>
      <c r="AA15" s="118"/>
      <c r="AB15" s="118"/>
      <c r="AC15" s="97"/>
      <c r="AD15" s="97"/>
      <c r="AE15" s="24"/>
      <c r="AF15" s="24"/>
      <c r="AG15" s="24"/>
      <c r="AH15" s="24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</row>
    <row r="16" spans="1:48" ht="14.25" customHeight="1" x14ac:dyDescent="0.2">
      <c r="A16" s="96"/>
      <c r="B16" s="96"/>
      <c r="C16" s="118"/>
      <c r="D16" s="118"/>
      <c r="E16" s="97"/>
      <c r="F16" s="97"/>
      <c r="G16" s="118"/>
      <c r="H16" s="118"/>
      <c r="I16" s="97"/>
      <c r="J16" s="97"/>
      <c r="K16" s="118"/>
      <c r="L16" s="118"/>
      <c r="M16" s="97"/>
      <c r="N16" s="97"/>
      <c r="O16" s="118"/>
      <c r="P16" s="118"/>
      <c r="Q16" s="97"/>
      <c r="R16" s="97"/>
      <c r="S16" s="118"/>
      <c r="T16" s="118"/>
      <c r="U16" s="97"/>
      <c r="V16" s="97"/>
      <c r="W16" s="118"/>
      <c r="X16" s="118"/>
      <c r="Y16" s="97"/>
      <c r="Z16" s="97"/>
      <c r="AA16" s="118"/>
      <c r="AB16" s="118"/>
      <c r="AC16" s="97"/>
      <c r="AD16" s="97"/>
      <c r="AE16" s="24"/>
      <c r="AF16" s="24"/>
      <c r="AG16" s="24"/>
      <c r="AH16" s="24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</row>
    <row r="17" spans="1:48" ht="14.25" customHeight="1" x14ac:dyDescent="0.2">
      <c r="A17" s="96"/>
      <c r="B17" s="96"/>
      <c r="C17" s="118"/>
      <c r="D17" s="118"/>
      <c r="E17" s="97"/>
      <c r="F17" s="97"/>
      <c r="G17" s="118"/>
      <c r="H17" s="118"/>
      <c r="I17" s="97"/>
      <c r="J17" s="97"/>
      <c r="K17" s="118"/>
      <c r="L17" s="118"/>
      <c r="M17" s="97"/>
      <c r="N17" s="97"/>
      <c r="O17" s="118"/>
      <c r="P17" s="118"/>
      <c r="Q17" s="97"/>
      <c r="R17" s="97"/>
      <c r="S17" s="118"/>
      <c r="T17" s="118"/>
      <c r="U17" s="97"/>
      <c r="V17" s="97"/>
      <c r="W17" s="118"/>
      <c r="X17" s="118"/>
      <c r="Y17" s="97"/>
      <c r="Z17" s="97"/>
      <c r="AA17" s="118"/>
      <c r="AB17" s="118"/>
      <c r="AC17" s="97"/>
      <c r="AD17" s="97"/>
      <c r="AE17" s="24"/>
      <c r="AF17" s="24"/>
      <c r="AG17" s="24"/>
      <c r="AH17" s="24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</row>
    <row r="18" spans="1:48" ht="14.25" customHeight="1" x14ac:dyDescent="0.2">
      <c r="A18" s="96"/>
      <c r="B18" s="96"/>
      <c r="C18" s="118"/>
      <c r="D18" s="118"/>
      <c r="E18" s="97"/>
      <c r="F18" s="97"/>
      <c r="G18" s="118"/>
      <c r="H18" s="118"/>
      <c r="I18" s="97"/>
      <c r="J18" s="97"/>
      <c r="K18" s="118"/>
      <c r="L18" s="118"/>
      <c r="M18" s="97"/>
      <c r="N18" s="97"/>
      <c r="O18" s="118"/>
      <c r="P18" s="118"/>
      <c r="Q18" s="97"/>
      <c r="R18" s="97"/>
      <c r="S18" s="118"/>
      <c r="T18" s="118"/>
      <c r="U18" s="97"/>
      <c r="V18" s="97"/>
      <c r="W18" s="118"/>
      <c r="X18" s="118"/>
      <c r="Y18" s="97"/>
      <c r="Z18" s="97"/>
      <c r="AA18" s="118"/>
      <c r="AB18" s="118"/>
      <c r="AC18" s="97"/>
      <c r="AD18" s="97"/>
      <c r="AE18" s="24"/>
      <c r="AF18" s="24"/>
      <c r="AG18" s="24"/>
      <c r="AH18" s="24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</row>
    <row r="19" spans="1:48" ht="14.25" customHeight="1" x14ac:dyDescent="0.2">
      <c r="A19" s="96"/>
      <c r="B19" s="96"/>
      <c r="C19" s="118"/>
      <c r="D19" s="118"/>
      <c r="E19" s="97"/>
      <c r="F19" s="97"/>
      <c r="G19" s="118"/>
      <c r="H19" s="118"/>
      <c r="I19" s="97"/>
      <c r="J19" s="97"/>
      <c r="K19" s="118"/>
      <c r="L19" s="118"/>
      <c r="M19" s="97"/>
      <c r="N19" s="97"/>
      <c r="O19" s="118"/>
      <c r="P19" s="118"/>
      <c r="Q19" s="97"/>
      <c r="R19" s="97"/>
      <c r="S19" s="118"/>
      <c r="T19" s="118"/>
      <c r="U19" s="97"/>
      <c r="V19" s="97"/>
      <c r="W19" s="118"/>
      <c r="X19" s="118"/>
      <c r="Y19" s="97"/>
      <c r="Z19" s="97"/>
      <c r="AA19" s="118"/>
      <c r="AB19" s="118"/>
      <c r="AC19" s="97"/>
      <c r="AD19" s="97"/>
      <c r="AE19" s="24"/>
      <c r="AF19" s="24"/>
      <c r="AG19" s="24"/>
      <c r="AH19" s="24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</row>
    <row r="20" spans="1:48" ht="14.25" customHeight="1" x14ac:dyDescent="0.2">
      <c r="A20" s="96"/>
      <c r="B20" s="96"/>
      <c r="C20" s="118"/>
      <c r="D20" s="118"/>
      <c r="E20" s="97"/>
      <c r="F20" s="97"/>
      <c r="G20" s="118"/>
      <c r="H20" s="118"/>
      <c r="I20" s="97"/>
      <c r="J20" s="97"/>
      <c r="K20" s="118"/>
      <c r="L20" s="118"/>
      <c r="M20" s="97"/>
      <c r="N20" s="97"/>
      <c r="O20" s="118"/>
      <c r="P20" s="118"/>
      <c r="Q20" s="97"/>
      <c r="R20" s="97"/>
      <c r="S20" s="118"/>
      <c r="T20" s="118"/>
      <c r="U20" s="97"/>
      <c r="V20" s="97"/>
      <c r="W20" s="118"/>
      <c r="X20" s="118"/>
      <c r="Y20" s="97"/>
      <c r="Z20" s="97"/>
      <c r="AA20" s="118"/>
      <c r="AB20" s="118"/>
      <c r="AC20" s="97"/>
      <c r="AD20" s="97"/>
      <c r="AE20" s="24"/>
      <c r="AF20" s="24"/>
      <c r="AG20" s="24"/>
      <c r="AH20" s="24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</row>
    <row r="21" spans="1:48" ht="15.75" customHeight="1" x14ac:dyDescent="0.2">
      <c r="A21" s="96"/>
      <c r="B21" s="96"/>
      <c r="C21" s="118"/>
      <c r="D21" s="118"/>
      <c r="E21" s="97"/>
      <c r="F21" s="97"/>
      <c r="G21" s="118"/>
      <c r="H21" s="118"/>
      <c r="I21" s="97"/>
      <c r="J21" s="97"/>
      <c r="K21" s="118"/>
      <c r="L21" s="118"/>
      <c r="M21" s="97"/>
      <c r="N21" s="97"/>
      <c r="O21" s="118"/>
      <c r="P21" s="118"/>
      <c r="Q21" s="97"/>
      <c r="R21" s="97"/>
      <c r="S21" s="118"/>
      <c r="T21" s="118"/>
      <c r="U21" s="97"/>
      <c r="V21" s="97"/>
      <c r="W21" s="118"/>
      <c r="X21" s="118"/>
      <c r="Y21" s="97"/>
      <c r="Z21" s="97"/>
      <c r="AA21" s="118"/>
      <c r="AB21" s="118"/>
      <c r="AC21" s="97"/>
      <c r="AD21" s="97"/>
      <c r="AE21" s="24"/>
      <c r="AF21" s="24"/>
      <c r="AG21" s="24"/>
      <c r="AH21" s="24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</row>
    <row r="22" spans="1:48" ht="15.75" customHeight="1" x14ac:dyDescent="0.2">
      <c r="A22" s="96"/>
      <c r="B22" s="96"/>
      <c r="C22" s="118"/>
      <c r="D22" s="118"/>
      <c r="E22" s="97"/>
      <c r="F22" s="97"/>
      <c r="G22" s="118"/>
      <c r="H22" s="118"/>
      <c r="I22" s="97"/>
      <c r="J22" s="97"/>
      <c r="K22" s="118"/>
      <c r="L22" s="118"/>
      <c r="M22" s="97"/>
      <c r="N22" s="97"/>
      <c r="O22" s="118"/>
      <c r="P22" s="118"/>
      <c r="Q22" s="97"/>
      <c r="R22" s="97"/>
      <c r="S22" s="118"/>
      <c r="T22" s="118"/>
      <c r="U22" s="97"/>
      <c r="V22" s="97"/>
      <c r="W22" s="118"/>
      <c r="X22" s="118"/>
      <c r="Y22" s="97"/>
      <c r="Z22" s="97"/>
      <c r="AA22" s="118"/>
      <c r="AB22" s="118"/>
      <c r="AC22" s="97"/>
      <c r="AD22" s="97"/>
      <c r="AE22" s="24"/>
      <c r="AF22" s="24"/>
      <c r="AG22" s="24"/>
      <c r="AH22" s="24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</row>
    <row r="23" spans="1:48" ht="15.75" customHeight="1" x14ac:dyDescent="0.2">
      <c r="A23" s="96"/>
      <c r="B23" s="96"/>
      <c r="C23" s="118"/>
      <c r="D23" s="118"/>
      <c r="E23" s="97"/>
      <c r="F23" s="97"/>
      <c r="G23" s="118"/>
      <c r="H23" s="118"/>
      <c r="I23" s="97"/>
      <c r="J23" s="97"/>
      <c r="K23" s="118"/>
      <c r="L23" s="118"/>
      <c r="M23" s="97"/>
      <c r="N23" s="97"/>
      <c r="O23" s="118"/>
      <c r="P23" s="118"/>
      <c r="Q23" s="97"/>
      <c r="R23" s="97"/>
      <c r="S23" s="118"/>
      <c r="T23" s="118"/>
      <c r="U23" s="97"/>
      <c r="V23" s="97"/>
      <c r="W23" s="118"/>
      <c r="X23" s="118"/>
      <c r="Y23" s="97"/>
      <c r="Z23" s="97"/>
      <c r="AA23" s="118"/>
      <c r="AB23" s="118"/>
      <c r="AC23" s="97"/>
      <c r="AD23" s="97"/>
      <c r="AE23" s="24"/>
      <c r="AF23" s="24"/>
      <c r="AG23" s="24"/>
      <c r="AH23" s="24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</row>
    <row r="24" spans="1:48" ht="15.75" customHeight="1" x14ac:dyDescent="0.2">
      <c r="A24" s="96"/>
      <c r="B24" s="96"/>
      <c r="C24" s="118"/>
      <c r="D24" s="118"/>
      <c r="E24" s="97"/>
      <c r="F24" s="97"/>
      <c r="G24" s="118"/>
      <c r="H24" s="118"/>
      <c r="I24" s="97"/>
      <c r="J24" s="97"/>
      <c r="K24" s="118"/>
      <c r="L24" s="118"/>
      <c r="M24" s="97"/>
      <c r="N24" s="97"/>
      <c r="O24" s="118"/>
      <c r="P24" s="118"/>
      <c r="Q24" s="97"/>
      <c r="R24" s="97"/>
      <c r="S24" s="118"/>
      <c r="T24" s="118"/>
      <c r="U24" s="97"/>
      <c r="V24" s="97"/>
      <c r="W24" s="118"/>
      <c r="X24" s="118"/>
      <c r="Y24" s="97"/>
      <c r="Z24" s="97"/>
      <c r="AA24" s="118"/>
      <c r="AB24" s="118"/>
      <c r="AC24" s="97"/>
      <c r="AD24" s="97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</row>
    <row r="25" spans="1:48" ht="15.75" customHeight="1" x14ac:dyDescent="0.25">
      <c r="A25" s="2"/>
      <c r="B25" s="6"/>
      <c r="C25" s="6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</row>
    <row r="26" spans="1:48" ht="14.25" customHeight="1" x14ac:dyDescent="0.2">
      <c r="A26" s="169" t="s">
        <v>70</v>
      </c>
      <c r="B26" s="132"/>
      <c r="C26" s="170">
        <f>COUNT(C9:C24)</f>
        <v>0</v>
      </c>
      <c r="D26" s="131"/>
      <c r="E26" s="131"/>
      <c r="F26" s="132"/>
      <c r="G26" s="170">
        <f>COUNT(G9:G24)</f>
        <v>0</v>
      </c>
      <c r="H26" s="131"/>
      <c r="I26" s="131"/>
      <c r="J26" s="132"/>
      <c r="K26" s="170">
        <f>COUNT(K9:K24)</f>
        <v>0</v>
      </c>
      <c r="L26" s="131"/>
      <c r="M26" s="131"/>
      <c r="N26" s="132"/>
      <c r="O26" s="170">
        <f>COUNT(O9:O24)</f>
        <v>0</v>
      </c>
      <c r="P26" s="131"/>
      <c r="Q26" s="131"/>
      <c r="R26" s="132"/>
      <c r="S26" s="170">
        <f>COUNT(S9:S24)</f>
        <v>0</v>
      </c>
      <c r="T26" s="131"/>
      <c r="U26" s="131"/>
      <c r="V26" s="132"/>
      <c r="W26" s="170">
        <f>COUNT(W9:W24)</f>
        <v>0</v>
      </c>
      <c r="X26" s="131"/>
      <c r="Y26" s="131"/>
      <c r="Z26" s="132"/>
      <c r="AA26" s="170">
        <f>COUNT(AA9:AA24)</f>
        <v>0</v>
      </c>
      <c r="AB26" s="131"/>
      <c r="AC26" s="131"/>
      <c r="AD26" s="132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</row>
    <row r="27" spans="1:48" ht="15.75" customHeight="1" x14ac:dyDescent="0.2">
      <c r="A27" s="169" t="s">
        <v>30</v>
      </c>
      <c r="B27" s="132"/>
      <c r="C27" s="168">
        <f>COUNTIF(C9:C23,"Absent")</f>
        <v>0</v>
      </c>
      <c r="D27" s="131"/>
      <c r="E27" s="131"/>
      <c r="F27" s="132"/>
      <c r="G27" s="168">
        <f>COUNTIF(G9:G23,"Absent")</f>
        <v>0</v>
      </c>
      <c r="H27" s="131"/>
      <c r="I27" s="131"/>
      <c r="J27" s="132"/>
      <c r="K27" s="168">
        <f>COUNTIF(K9:K23,"Absent")</f>
        <v>0</v>
      </c>
      <c r="L27" s="131"/>
      <c r="M27" s="131"/>
      <c r="N27" s="132"/>
      <c r="O27" s="168">
        <f>COUNTIF(O9:O23,"Absent")</f>
        <v>0</v>
      </c>
      <c r="P27" s="131"/>
      <c r="Q27" s="131"/>
      <c r="R27" s="132"/>
      <c r="S27" s="168">
        <f>COUNTIF(S9:S23,"Absent")</f>
        <v>0</v>
      </c>
      <c r="T27" s="131"/>
      <c r="U27" s="131"/>
      <c r="V27" s="132"/>
      <c r="W27" s="168">
        <f>COUNTIF(W9:W23,"Absent")</f>
        <v>0</v>
      </c>
      <c r="X27" s="131"/>
      <c r="Y27" s="131"/>
      <c r="Z27" s="132"/>
      <c r="AA27" s="168">
        <f>COUNTIF(AA9:AA23,"Absent")</f>
        <v>0</v>
      </c>
      <c r="AB27" s="131"/>
      <c r="AC27" s="131"/>
      <c r="AD27" s="132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</row>
    <row r="28" spans="1:48" ht="15.75" customHeight="1" x14ac:dyDescent="0.2">
      <c r="A28" s="167" t="s">
        <v>24</v>
      </c>
      <c r="B28" s="132"/>
      <c r="C28" s="168">
        <f>COUNTIF(C9:C23,"Leave")+COUNTIF(C9:C23,"VL")</f>
        <v>0</v>
      </c>
      <c r="D28" s="131"/>
      <c r="E28" s="131"/>
      <c r="F28" s="132"/>
      <c r="G28" s="168">
        <f>COUNTIF(G9:G23,"Leave")+COUNTIF(G9:G23,"VL")</f>
        <v>0</v>
      </c>
      <c r="H28" s="131"/>
      <c r="I28" s="131"/>
      <c r="J28" s="132"/>
      <c r="K28" s="168">
        <f>COUNTIF(K9:K23,"Leave")+COUNTIF(K9:K23,"VL")</f>
        <v>0</v>
      </c>
      <c r="L28" s="131"/>
      <c r="M28" s="131"/>
      <c r="N28" s="132"/>
      <c r="O28" s="168">
        <f>COUNTIF(O9:O23,"Leave")+COUNTIF(O9:O23,"VL")</f>
        <v>0</v>
      </c>
      <c r="P28" s="131"/>
      <c r="Q28" s="131"/>
      <c r="R28" s="132"/>
      <c r="S28" s="168">
        <f>COUNTIF(S9:S23,"Leave")+COUNTIF(S9:S23,"VL")</f>
        <v>0</v>
      </c>
      <c r="T28" s="131"/>
      <c r="U28" s="131"/>
      <c r="V28" s="132"/>
      <c r="W28" s="168">
        <f>COUNTIF(W9:W23,"Leave")+COUNTIF(W9:W23,"VL")</f>
        <v>0</v>
      </c>
      <c r="X28" s="131"/>
      <c r="Y28" s="131"/>
      <c r="Z28" s="132"/>
      <c r="AA28" s="168">
        <f>COUNTIF(AA9:AA23,"Leave")+COUNTIF(AA9:AA23,"VL")</f>
        <v>0</v>
      </c>
      <c r="AB28" s="131"/>
      <c r="AC28" s="131"/>
      <c r="AD28" s="132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</row>
    <row r="29" spans="1:48" ht="15.75" customHeight="1" x14ac:dyDescent="0.2">
      <c r="A29" s="167" t="s">
        <v>26</v>
      </c>
      <c r="B29" s="132"/>
      <c r="C29" s="171">
        <f>COUNTIF(C9:C23,"SL")</f>
        <v>0</v>
      </c>
      <c r="D29" s="131"/>
      <c r="E29" s="131"/>
      <c r="F29" s="132"/>
      <c r="G29" s="171">
        <f>COUNTIF(G9:G23,"SL")</f>
        <v>0</v>
      </c>
      <c r="H29" s="131"/>
      <c r="I29" s="131"/>
      <c r="J29" s="132"/>
      <c r="K29" s="171">
        <f>COUNTIF(K9:K23,"SL")</f>
        <v>0</v>
      </c>
      <c r="L29" s="131"/>
      <c r="M29" s="131"/>
      <c r="N29" s="132"/>
      <c r="O29" s="171">
        <f>COUNTIF(O9:O23,"SL")</f>
        <v>0</v>
      </c>
      <c r="P29" s="131"/>
      <c r="Q29" s="131"/>
      <c r="R29" s="132"/>
      <c r="S29" s="171">
        <f>COUNTIF(S9:S23,"SL")</f>
        <v>0</v>
      </c>
      <c r="T29" s="131"/>
      <c r="U29" s="131"/>
      <c r="V29" s="132"/>
      <c r="W29" s="171">
        <f>COUNTIF(W9:W23,"SL")</f>
        <v>0</v>
      </c>
      <c r="X29" s="131"/>
      <c r="Y29" s="131"/>
      <c r="Z29" s="132"/>
      <c r="AA29" s="171">
        <f>COUNTIF(AA9:AA23,"SL")</f>
        <v>0</v>
      </c>
      <c r="AB29" s="131"/>
      <c r="AC29" s="131"/>
      <c r="AD29" s="132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</row>
    <row r="30" spans="1:48" ht="15.75" customHeight="1" x14ac:dyDescent="0.2">
      <c r="A30" s="167" t="s">
        <v>76</v>
      </c>
      <c r="B30" s="132"/>
      <c r="C30" s="168">
        <f t="array" ref="C30">SUM(COUNTIF(C9:C24,{"ML","PL","Maternal Leave","Paternity Leave"}))</f>
        <v>0</v>
      </c>
      <c r="D30" s="131"/>
      <c r="E30" s="131"/>
      <c r="F30" s="132"/>
      <c r="G30" s="168">
        <f t="array" ref="G30">SUM(COUNTIF(G9:G24,{"ML","PL","Maternal Leave","Paternity Leave"}))</f>
        <v>0</v>
      </c>
      <c r="H30" s="131"/>
      <c r="I30" s="131"/>
      <c r="J30" s="132"/>
      <c r="K30" s="168">
        <f t="array" ref="K30">SUM(COUNTIF(K9:K24,{"ML","PL","Maternal Leave","Paternity Leave"}))</f>
        <v>0</v>
      </c>
      <c r="L30" s="131"/>
      <c r="M30" s="131"/>
      <c r="N30" s="132"/>
      <c r="O30" s="168">
        <f t="array" ref="O30">SUM(COUNTIF(O9:O24,{"ML","PL","Maternal Leave","Paternity Leave"}))</f>
        <v>0</v>
      </c>
      <c r="P30" s="131"/>
      <c r="Q30" s="131"/>
      <c r="R30" s="132"/>
      <c r="S30" s="168">
        <f t="array" ref="S30">SUM(COUNTIF(S9:S24,{"ML","PL","Maternal Leave","Paternity Leave"}))</f>
        <v>0</v>
      </c>
      <c r="T30" s="131"/>
      <c r="U30" s="131"/>
      <c r="V30" s="132"/>
      <c r="W30" s="168">
        <f t="array" ref="W30">SUM(COUNTIF(W9:W24,{"ML","PL","Maternal Leave","Paternity Leave"}))</f>
        <v>0</v>
      </c>
      <c r="X30" s="131"/>
      <c r="Y30" s="131"/>
      <c r="Z30" s="132"/>
      <c r="AA30" s="168">
        <f t="array" ref="AA30">SUM(COUNTIF(AA9:AA24,{"ML","PL","Maternal Leave","Paternity Leave"}))</f>
        <v>0</v>
      </c>
      <c r="AB30" s="131"/>
      <c r="AC30" s="131"/>
      <c r="AD30" s="132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</row>
    <row r="31" spans="1:48" ht="15.75" customHeight="1" x14ac:dyDescent="0.25">
      <c r="A31" s="2"/>
      <c r="B31" s="2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69"/>
      <c r="Q31" s="69"/>
      <c r="R31" s="69"/>
      <c r="S31" s="69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</row>
    <row r="32" spans="1:48" ht="15.75" customHeight="1" x14ac:dyDescent="0.25">
      <c r="A32" s="2"/>
      <c r="B32" s="2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69"/>
      <c r="Q32" s="69"/>
      <c r="R32" s="69"/>
      <c r="S32" s="69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</row>
    <row r="33" spans="1:48" ht="15.75" customHeight="1" x14ac:dyDescent="0.25">
      <c r="A33" s="2"/>
      <c r="B33" s="2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69"/>
      <c r="Q33" s="69"/>
      <c r="R33" s="69"/>
      <c r="S33" s="69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</row>
    <row r="34" spans="1:48" ht="15.75" customHeight="1" x14ac:dyDescent="0.25">
      <c r="A34" s="2"/>
      <c r="B34" s="2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69"/>
      <c r="Q34" s="69"/>
      <c r="R34" s="69"/>
      <c r="S34" s="69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</row>
    <row r="35" spans="1:48" ht="15.75" customHeight="1" x14ac:dyDescent="0.25">
      <c r="A35" s="2"/>
      <c r="B35" s="2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69"/>
      <c r="Q35" s="69"/>
      <c r="R35" s="69"/>
      <c r="S35" s="69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</row>
    <row r="36" spans="1:48" ht="15.75" customHeight="1" x14ac:dyDescent="0.25">
      <c r="A36" s="2"/>
      <c r="B36" s="2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</row>
    <row r="37" spans="1:48" ht="15.75" customHeight="1" x14ac:dyDescent="0.25">
      <c r="A37" s="2"/>
      <c r="B37" s="2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69"/>
      <c r="Q37" s="69"/>
      <c r="R37" s="69"/>
      <c r="S37" s="69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</row>
    <row r="38" spans="1:48" ht="15.75" customHeight="1" x14ac:dyDescent="0.25">
      <c r="A38" s="2"/>
      <c r="B38" s="2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69"/>
      <c r="Q38" s="69"/>
      <c r="R38" s="69"/>
      <c r="S38" s="69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</row>
    <row r="39" spans="1:48" ht="15.75" customHeight="1" x14ac:dyDescent="0.25">
      <c r="A39" s="2"/>
      <c r="B39" s="2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69"/>
      <c r="Q39" s="69"/>
      <c r="R39" s="69"/>
      <c r="S39" s="69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</row>
    <row r="40" spans="1:48" ht="15.75" customHeight="1" x14ac:dyDescent="0.25">
      <c r="A40" s="2"/>
      <c r="B40" s="2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69"/>
      <c r="Q40" s="69"/>
      <c r="R40" s="69"/>
      <c r="S40" s="69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</row>
    <row r="41" spans="1:48" ht="15.75" customHeight="1" x14ac:dyDescent="0.25">
      <c r="A41" s="2"/>
      <c r="B41" s="2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69"/>
      <c r="Q41" s="69"/>
      <c r="R41" s="69"/>
      <c r="S41" s="69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</row>
    <row r="42" spans="1:48" ht="15.75" customHeight="1" x14ac:dyDescent="0.25">
      <c r="A42" s="2"/>
      <c r="B42" s="2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69"/>
      <c r="Q42" s="69"/>
      <c r="R42" s="69"/>
      <c r="S42" s="69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</row>
    <row r="43" spans="1:48" ht="15.75" customHeight="1" x14ac:dyDescent="0.25">
      <c r="A43" s="2"/>
      <c r="B43" s="2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</row>
    <row r="44" spans="1:48" ht="15.75" customHeight="1" x14ac:dyDescent="0.25">
      <c r="A44" s="2"/>
      <c r="B44" s="2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</row>
    <row r="45" spans="1:48" ht="15.75" customHeight="1" x14ac:dyDescent="0.25">
      <c r="A45" s="2"/>
      <c r="B45" s="2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</row>
    <row r="46" spans="1:48" ht="15.75" customHeight="1" x14ac:dyDescent="0.25">
      <c r="A46" s="2"/>
      <c r="B46" s="2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</row>
    <row r="47" spans="1:48" ht="15.75" customHeight="1" x14ac:dyDescent="0.25">
      <c r="A47" s="2"/>
      <c r="B47" s="2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</row>
    <row r="48" spans="1:48" ht="15.75" customHeight="1" x14ac:dyDescent="0.25">
      <c r="A48" s="2"/>
      <c r="B48" s="2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</row>
    <row r="49" spans="1:48" ht="15.75" customHeight="1" x14ac:dyDescent="0.25">
      <c r="A49" s="2"/>
      <c r="B49" s="2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</row>
    <row r="50" spans="1:48" ht="15.75" customHeight="1" x14ac:dyDescent="0.25">
      <c r="A50" s="2"/>
      <c r="B50" s="2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</row>
    <row r="51" spans="1:48" ht="15.75" customHeight="1" x14ac:dyDescent="0.25">
      <c r="A51" s="2"/>
      <c r="B51" s="2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</row>
    <row r="52" spans="1:48" ht="15.75" customHeight="1" x14ac:dyDescent="0.25">
      <c r="A52" s="2"/>
      <c r="B52" s="2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</row>
    <row r="53" spans="1:48" ht="15.75" customHeight="1" x14ac:dyDescent="0.25">
      <c r="A53" s="2"/>
      <c r="B53" s="2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</row>
    <row r="54" spans="1:48" ht="15.75" customHeight="1" x14ac:dyDescent="0.25">
      <c r="A54" s="2"/>
      <c r="B54" s="2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</row>
    <row r="55" spans="1:48" ht="15.75" customHeight="1" x14ac:dyDescent="0.25">
      <c r="A55" s="2"/>
      <c r="B55" s="2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</row>
    <row r="56" spans="1:48" ht="15.75" customHeight="1" x14ac:dyDescent="0.25">
      <c r="A56" s="2"/>
      <c r="B56" s="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</row>
    <row r="57" spans="1:48" ht="15.75" customHeight="1" x14ac:dyDescent="0.25">
      <c r="A57" s="2"/>
      <c r="B57" s="2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</row>
    <row r="58" spans="1:48" ht="15.75" customHeight="1" x14ac:dyDescent="0.25">
      <c r="A58" s="2"/>
      <c r="B58" s="2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</row>
    <row r="59" spans="1:48" ht="15.75" customHeight="1" x14ac:dyDescent="0.25">
      <c r="A59" s="2"/>
      <c r="B59" s="2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</row>
    <row r="60" spans="1:48" ht="15.75" customHeight="1" x14ac:dyDescent="0.25">
      <c r="A60" s="2"/>
      <c r="B60" s="2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</row>
    <row r="61" spans="1:48" ht="15.75" customHeight="1" x14ac:dyDescent="0.25">
      <c r="A61" s="2"/>
      <c r="B61" s="2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</row>
    <row r="62" spans="1:48" ht="15.75" customHeight="1" x14ac:dyDescent="0.25">
      <c r="A62" s="2"/>
      <c r="B62" s="2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</row>
    <row r="63" spans="1:4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</row>
    <row r="64" spans="1:4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</row>
    <row r="65" spans="1:4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</row>
    <row r="66" spans="1:4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</row>
    <row r="67" spans="1:4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</row>
    <row r="68" spans="1:4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</row>
    <row r="69" spans="1:4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</row>
    <row r="70" spans="1:4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</row>
    <row r="71" spans="1:4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</row>
    <row r="72" spans="1:4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</row>
    <row r="73" spans="1:4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</row>
    <row r="74" spans="1:4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</row>
    <row r="75" spans="1:4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</row>
    <row r="76" spans="1:4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</row>
    <row r="77" spans="1:4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</row>
    <row r="78" spans="1:4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</row>
    <row r="79" spans="1:4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</row>
    <row r="80" spans="1:4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</row>
    <row r="81" spans="1:4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</row>
    <row r="82" spans="1:4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</row>
    <row r="83" spans="1:4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</row>
    <row r="84" spans="1:4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</row>
    <row r="85" spans="1:4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</row>
    <row r="86" spans="1:4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</row>
    <row r="87" spans="1:4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</row>
    <row r="88" spans="1:4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</row>
    <row r="89" spans="1:4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</row>
    <row r="90" spans="1:4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</row>
    <row r="91" spans="1:4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</row>
    <row r="92" spans="1:4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</row>
    <row r="93" spans="1:4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</row>
    <row r="94" spans="1:4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</row>
    <row r="95" spans="1:4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</row>
    <row r="96" spans="1:4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</row>
    <row r="97" spans="1:4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</row>
    <row r="98" spans="1:4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</row>
    <row r="99" spans="1:4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</row>
    <row r="100" spans="1:4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</row>
    <row r="101" spans="1:4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</row>
    <row r="102" spans="1:4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</row>
    <row r="103" spans="1:4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</row>
    <row r="104" spans="1:4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</row>
    <row r="105" spans="1:4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</row>
    <row r="106" spans="1:4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</row>
    <row r="107" spans="1:4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</row>
    <row r="108" spans="1:4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</row>
    <row r="109" spans="1:4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</row>
    <row r="110" spans="1:4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</row>
    <row r="111" spans="1:4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</row>
    <row r="112" spans="1:4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</row>
    <row r="113" spans="1:4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</row>
    <row r="114" spans="1:4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</row>
    <row r="115" spans="1:4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</row>
    <row r="116" spans="1:4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</row>
    <row r="117" spans="1:4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</row>
    <row r="118" spans="1:4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</row>
    <row r="119" spans="1:4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</row>
    <row r="120" spans="1:4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</row>
    <row r="121" spans="1:4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</row>
    <row r="122" spans="1:4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</row>
    <row r="123" spans="1:4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</row>
    <row r="124" spans="1:4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</row>
    <row r="125" spans="1:4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</row>
    <row r="126" spans="1:4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</row>
    <row r="127" spans="1:4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</row>
    <row r="128" spans="1:4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</row>
    <row r="129" spans="1:4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</row>
    <row r="130" spans="1:4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</row>
    <row r="131" spans="1:4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</row>
    <row r="132" spans="1:4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</row>
    <row r="133" spans="1:4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</row>
    <row r="134" spans="1:4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</row>
    <row r="135" spans="1:4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</row>
    <row r="136" spans="1:4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</row>
    <row r="137" spans="1:4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</row>
    <row r="138" spans="1:4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</row>
    <row r="139" spans="1:4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</row>
    <row r="140" spans="1:4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</row>
    <row r="141" spans="1:4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</row>
    <row r="142" spans="1:4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</row>
    <row r="143" spans="1:4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</row>
    <row r="144" spans="1:4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</row>
    <row r="145" spans="1:4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</row>
    <row r="146" spans="1:4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</row>
    <row r="147" spans="1:4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</row>
    <row r="148" spans="1:4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</row>
    <row r="149" spans="1:4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</row>
    <row r="150" spans="1:4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</row>
    <row r="151" spans="1:4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</row>
    <row r="152" spans="1:4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</row>
    <row r="153" spans="1:4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</row>
    <row r="154" spans="1:4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</row>
    <row r="155" spans="1:4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</row>
    <row r="156" spans="1:4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</row>
    <row r="157" spans="1:4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</row>
    <row r="158" spans="1:4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</row>
    <row r="159" spans="1:4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</row>
    <row r="160" spans="1:4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</row>
    <row r="161" spans="1:4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</row>
    <row r="162" spans="1:4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</row>
    <row r="163" spans="1:4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</row>
    <row r="164" spans="1:4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</row>
    <row r="165" spans="1:4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</row>
    <row r="166" spans="1:4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</row>
    <row r="167" spans="1:4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</row>
    <row r="168" spans="1:4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</row>
    <row r="169" spans="1:4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</row>
    <row r="170" spans="1:4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</row>
    <row r="171" spans="1:4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</row>
    <row r="172" spans="1:4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</row>
    <row r="173" spans="1:4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</row>
    <row r="174" spans="1:4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</row>
    <row r="175" spans="1:4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</row>
    <row r="176" spans="1:4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</row>
    <row r="177" spans="1:4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</row>
    <row r="178" spans="1:4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</row>
    <row r="179" spans="1:4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</row>
    <row r="180" spans="1:4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</row>
    <row r="181" spans="1:4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</row>
    <row r="182" spans="1:4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</row>
    <row r="183" spans="1:4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</row>
    <row r="184" spans="1:4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</row>
    <row r="185" spans="1:4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</row>
    <row r="186" spans="1:4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</row>
    <row r="187" spans="1:4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</row>
    <row r="188" spans="1:4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</row>
    <row r="189" spans="1:4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</row>
    <row r="190" spans="1:4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</row>
    <row r="191" spans="1:4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</row>
    <row r="192" spans="1:4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</row>
    <row r="193" spans="1:4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</row>
    <row r="194" spans="1:4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</row>
    <row r="195" spans="1:4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</row>
    <row r="196" spans="1:4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</row>
    <row r="197" spans="1:4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</row>
    <row r="198" spans="1:4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</row>
    <row r="199" spans="1:4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</row>
    <row r="200" spans="1:4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</row>
    <row r="201" spans="1:4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</row>
    <row r="202" spans="1:4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</row>
    <row r="203" spans="1:4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</row>
    <row r="204" spans="1:4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</row>
    <row r="205" spans="1:4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</row>
    <row r="206" spans="1:4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</row>
    <row r="207" spans="1:4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</row>
    <row r="208" spans="1:4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</row>
    <row r="209" spans="1:4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</row>
    <row r="210" spans="1:4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</row>
    <row r="211" spans="1:4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</row>
    <row r="212" spans="1:4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</row>
    <row r="213" spans="1:4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</row>
    <row r="214" spans="1:4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</row>
    <row r="215" spans="1:4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</row>
    <row r="216" spans="1:4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</row>
    <row r="217" spans="1:4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</row>
    <row r="218" spans="1:4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</row>
    <row r="219" spans="1:4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</row>
    <row r="220" spans="1:4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</row>
    <row r="221" spans="1:4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</row>
    <row r="222" spans="1:4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</row>
    <row r="223" spans="1:4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</row>
    <row r="224" spans="1:4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</row>
    <row r="225" spans="1:4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</row>
    <row r="226" spans="1:4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</row>
    <row r="227" spans="1:4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</row>
    <row r="228" spans="1:4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</row>
    <row r="229" spans="1:4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</row>
    <row r="230" spans="1:4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</row>
    <row r="231" spans="1:48" ht="14.25" customHeight="1" x14ac:dyDescent="0.2"/>
    <row r="232" spans="1:48" ht="14.25" customHeight="1" x14ac:dyDescent="0.2"/>
    <row r="233" spans="1:48" ht="14.25" customHeight="1" x14ac:dyDescent="0.2"/>
    <row r="234" spans="1:48" ht="14.25" customHeight="1" x14ac:dyDescent="0.2"/>
    <row r="235" spans="1:48" ht="14.25" customHeight="1" x14ac:dyDescent="0.2"/>
    <row r="236" spans="1:48" ht="14.25" customHeight="1" x14ac:dyDescent="0.2"/>
    <row r="237" spans="1:48" ht="14.25" customHeight="1" x14ac:dyDescent="0.2"/>
    <row r="238" spans="1:48" ht="14.25" customHeight="1" x14ac:dyDescent="0.2"/>
    <row r="239" spans="1:48" ht="14.25" customHeight="1" x14ac:dyDescent="0.2"/>
    <row r="240" spans="1:4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6">
    <mergeCell ref="A27:B27"/>
    <mergeCell ref="C27:F27"/>
    <mergeCell ref="G27:J27"/>
    <mergeCell ref="K27:N27"/>
    <mergeCell ref="O27:R27"/>
    <mergeCell ref="W26:Z26"/>
    <mergeCell ref="A7:B7"/>
    <mergeCell ref="C7:D7"/>
    <mergeCell ref="E7:F7"/>
    <mergeCell ref="G7:H7"/>
    <mergeCell ref="I7:J7"/>
    <mergeCell ref="A26:B26"/>
    <mergeCell ref="C26:F26"/>
    <mergeCell ref="G26:J26"/>
    <mergeCell ref="K7:L7"/>
    <mergeCell ref="M7:N7"/>
    <mergeCell ref="O26:R26"/>
    <mergeCell ref="S26:V26"/>
    <mergeCell ref="K26:N26"/>
    <mergeCell ref="S29:V29"/>
    <mergeCell ref="AC7:AD7"/>
    <mergeCell ref="AE7:AF7"/>
    <mergeCell ref="O7:P7"/>
    <mergeCell ref="Q7:R7"/>
    <mergeCell ref="S7:T7"/>
    <mergeCell ref="U7:V7"/>
    <mergeCell ref="W7:X7"/>
    <mergeCell ref="Y7:Z7"/>
    <mergeCell ref="AA7:AB7"/>
    <mergeCell ref="AA26:AD26"/>
    <mergeCell ref="S27:V27"/>
    <mergeCell ref="W27:Z27"/>
    <mergeCell ref="AA27:AD27"/>
    <mergeCell ref="W29:Z29"/>
    <mergeCell ref="AA29:AD29"/>
    <mergeCell ref="W28:Z28"/>
    <mergeCell ref="AA28:AD28"/>
    <mergeCell ref="A30:B30"/>
    <mergeCell ref="C30:F30"/>
    <mergeCell ref="G30:J30"/>
    <mergeCell ref="K30:N30"/>
    <mergeCell ref="O30:R30"/>
    <mergeCell ref="S30:V30"/>
    <mergeCell ref="W30:Z30"/>
    <mergeCell ref="AA30:AD30"/>
    <mergeCell ref="A28:B28"/>
    <mergeCell ref="A29:B29"/>
    <mergeCell ref="C29:F29"/>
    <mergeCell ref="G29:J29"/>
    <mergeCell ref="K29:N29"/>
    <mergeCell ref="O29:R29"/>
    <mergeCell ref="C28:F28"/>
    <mergeCell ref="G28:J28"/>
    <mergeCell ref="K28:N28"/>
    <mergeCell ref="O28:R28"/>
    <mergeCell ref="S28:V28"/>
  </mergeCells>
  <pageMargins left="0.7" right="0.7" top="1.9312499999999999" bottom="1.9312499999999999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9" sqref="A9:B24"/>
    </sheetView>
  </sheetViews>
  <sheetFormatPr defaultColWidth="12.625" defaultRowHeight="15" customHeight="1" x14ac:dyDescent="0.2"/>
  <cols>
    <col min="1" max="1" width="9.25" customWidth="1"/>
    <col min="2" max="2" width="7" customWidth="1"/>
    <col min="3" max="3" width="8.375" customWidth="1"/>
    <col min="4" max="4" width="9.375" customWidth="1"/>
    <col min="5" max="6" width="13" customWidth="1"/>
    <col min="7" max="7" width="12.125" customWidth="1"/>
    <col min="8" max="8" width="10" customWidth="1"/>
    <col min="9" max="10" width="13" customWidth="1"/>
    <col min="11" max="11" width="11.5" customWidth="1"/>
    <col min="12" max="12" width="12" customWidth="1"/>
    <col min="13" max="14" width="13" customWidth="1"/>
    <col min="15" max="15" width="12.375" customWidth="1"/>
    <col min="16" max="18" width="11.625" customWidth="1"/>
    <col min="19" max="19" width="10.875" customWidth="1"/>
    <col min="20" max="22" width="11.25" customWidth="1"/>
    <col min="23" max="23" width="10.625" customWidth="1"/>
    <col min="24" max="26" width="11.25" customWidth="1"/>
    <col min="27" max="28" width="11.5" customWidth="1"/>
    <col min="29" max="30" width="13" customWidth="1"/>
    <col min="31" max="31" width="11.5" customWidth="1"/>
    <col min="32" max="32" width="10.875" customWidth="1"/>
    <col min="33" max="34" width="11.75" customWidth="1"/>
    <col min="35" max="35" width="11.375" customWidth="1"/>
    <col min="36" max="38" width="12.125" customWidth="1"/>
    <col min="39" max="39" width="11" customWidth="1"/>
    <col min="40" max="42" width="11.25" customWidth="1"/>
    <col min="43" max="43" width="10.875" customWidth="1"/>
    <col min="44" max="46" width="11" customWidth="1"/>
    <col min="47" max="47" width="11.375" customWidth="1"/>
    <col min="48" max="50" width="12.125" customWidth="1"/>
    <col min="51" max="51" width="11.25" customWidth="1"/>
    <col min="52" max="52" width="10.5" customWidth="1"/>
    <col min="53" max="54" width="11.75" customWidth="1"/>
    <col min="55" max="55" width="10" customWidth="1"/>
    <col min="56" max="58" width="11.75" customWidth="1"/>
    <col min="59" max="59" width="11.25" customWidth="1"/>
    <col min="60" max="62" width="11.625" customWidth="1"/>
    <col min="63" max="63" width="9.625" customWidth="1"/>
    <col min="64" max="64" width="10" customWidth="1"/>
    <col min="65" max="66" width="11.75" customWidth="1"/>
    <col min="67" max="67" width="10.875" customWidth="1"/>
    <col min="68" max="68" width="10.625" customWidth="1"/>
    <col min="69" max="70" width="11.75" customWidth="1"/>
    <col min="71" max="71" width="10.5" customWidth="1"/>
    <col min="72" max="72" width="11" customWidth="1"/>
    <col min="73" max="74" width="11.75" customWidth="1"/>
    <col min="75" max="75" width="10.875" customWidth="1"/>
    <col min="76" max="76" width="10.25" customWidth="1"/>
    <col min="77" max="78" width="11.75" customWidth="1"/>
    <col min="79" max="79" width="11.125" customWidth="1"/>
    <col min="80" max="80" width="11" customWidth="1"/>
    <col min="81" max="82" width="11.75" customWidth="1"/>
    <col min="83" max="83" width="10.5" customWidth="1"/>
    <col min="84" max="84" width="10.75" customWidth="1"/>
    <col min="85" max="86" width="11.75" customWidth="1"/>
    <col min="87" max="87" width="10.5" customWidth="1"/>
    <col min="88" max="88" width="12" customWidth="1"/>
    <col min="89" max="90" width="11.75" customWidth="1"/>
    <col min="91" max="91" width="10.5" customWidth="1"/>
    <col min="92" max="94" width="13.75" customWidth="1"/>
    <col min="95" max="95" width="12.75" customWidth="1"/>
    <col min="96" max="98" width="12.25" customWidth="1"/>
    <col min="99" max="107" width="13.875" customWidth="1"/>
  </cols>
  <sheetData>
    <row r="1" spans="1:107" ht="14.25" customHeight="1" x14ac:dyDescent="0.25">
      <c r="A1" s="1" t="s">
        <v>2</v>
      </c>
      <c r="B1" s="2"/>
      <c r="C1" s="3" t="s">
        <v>166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6"/>
      <c r="CV1" s="6"/>
      <c r="CW1" s="6"/>
      <c r="CX1" s="6"/>
      <c r="CY1" s="6"/>
      <c r="CZ1" s="6"/>
      <c r="DA1" s="6"/>
      <c r="DB1" s="6"/>
      <c r="DC1" s="6"/>
    </row>
    <row r="2" spans="1:107" ht="14.25" customHeight="1" x14ac:dyDescent="0.25">
      <c r="A2" s="7" t="s">
        <v>7</v>
      </c>
      <c r="B2" s="2"/>
      <c r="C2" s="3" t="s">
        <v>165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6"/>
      <c r="CV2" s="6"/>
      <c r="CW2" s="6"/>
      <c r="CX2" s="6"/>
      <c r="CY2" s="6"/>
      <c r="CZ2" s="6"/>
      <c r="DA2" s="6"/>
      <c r="DB2" s="6"/>
      <c r="DC2" s="6"/>
    </row>
    <row r="3" spans="1:107" ht="14.25" customHeight="1" x14ac:dyDescent="0.25">
      <c r="A3" s="7" t="s">
        <v>10</v>
      </c>
      <c r="B3" s="2"/>
      <c r="C3" s="10" t="s">
        <v>67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6"/>
      <c r="CV3" s="6"/>
      <c r="CW3" s="6"/>
      <c r="CX3" s="6"/>
      <c r="CY3" s="6"/>
      <c r="CZ3" s="6"/>
      <c r="DA3" s="6"/>
      <c r="DB3" s="6"/>
      <c r="DC3" s="6"/>
    </row>
    <row r="4" spans="1:10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6"/>
      <c r="CV4" s="6"/>
      <c r="CW4" s="6"/>
      <c r="CX4" s="6"/>
      <c r="CY4" s="6"/>
      <c r="CZ4" s="6"/>
      <c r="DA4" s="6"/>
      <c r="DB4" s="6"/>
      <c r="DC4" s="6"/>
    </row>
    <row r="5" spans="1:107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6"/>
      <c r="CV5" s="6"/>
      <c r="CW5" s="6"/>
      <c r="CX5" s="6"/>
      <c r="CY5" s="6"/>
      <c r="CZ5" s="6"/>
      <c r="DA5" s="6"/>
      <c r="DB5" s="6"/>
      <c r="DC5" s="6"/>
    </row>
    <row r="6" spans="1:10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6"/>
      <c r="CV6" s="6"/>
      <c r="CW6" s="6"/>
      <c r="CX6" s="6"/>
      <c r="CY6" s="6"/>
      <c r="CZ6" s="6"/>
      <c r="DA6" s="6"/>
      <c r="DB6" s="6"/>
      <c r="DC6" s="6"/>
    </row>
    <row r="7" spans="1:107" ht="14.25" customHeight="1" x14ac:dyDescent="0.2">
      <c r="A7" s="164" t="s">
        <v>25</v>
      </c>
      <c r="B7" s="132"/>
      <c r="C7" s="164" t="s">
        <v>47</v>
      </c>
      <c r="D7" s="132"/>
      <c r="E7" s="165" t="s">
        <v>29</v>
      </c>
      <c r="F7" s="166"/>
      <c r="G7" s="164" t="s">
        <v>66</v>
      </c>
      <c r="H7" s="132"/>
      <c r="I7" s="165" t="s">
        <v>29</v>
      </c>
      <c r="J7" s="166"/>
      <c r="K7" s="164" t="s">
        <v>74</v>
      </c>
      <c r="L7" s="132"/>
      <c r="M7" s="165" t="s">
        <v>29</v>
      </c>
      <c r="N7" s="166"/>
      <c r="O7" s="164" t="s">
        <v>75</v>
      </c>
      <c r="P7" s="132"/>
      <c r="Q7" s="165" t="s">
        <v>29</v>
      </c>
      <c r="R7" s="166"/>
      <c r="S7" s="176" t="s">
        <v>77</v>
      </c>
      <c r="T7" s="132"/>
      <c r="U7" s="165" t="s">
        <v>29</v>
      </c>
      <c r="V7" s="166"/>
      <c r="W7" s="176" t="s">
        <v>71</v>
      </c>
      <c r="X7" s="132"/>
      <c r="Y7" s="165" t="s">
        <v>29</v>
      </c>
      <c r="Z7" s="166"/>
      <c r="AA7" s="176" t="s">
        <v>68</v>
      </c>
      <c r="AB7" s="132"/>
      <c r="AC7" s="165" t="s">
        <v>29</v>
      </c>
      <c r="AD7" s="166"/>
      <c r="AE7" s="164" t="s">
        <v>104</v>
      </c>
      <c r="AF7" s="132"/>
      <c r="AG7" s="165" t="s">
        <v>29</v>
      </c>
      <c r="AH7" s="166"/>
      <c r="AI7" s="164" t="s">
        <v>113</v>
      </c>
      <c r="AJ7" s="132"/>
      <c r="AK7" s="165" t="s">
        <v>29</v>
      </c>
      <c r="AL7" s="166"/>
      <c r="AM7" s="164" t="s">
        <v>112</v>
      </c>
      <c r="AN7" s="132"/>
      <c r="AO7" s="165" t="s">
        <v>29</v>
      </c>
      <c r="AP7" s="166"/>
      <c r="AQ7" s="164" t="s">
        <v>118</v>
      </c>
      <c r="AR7" s="132"/>
      <c r="AS7" s="165" t="s">
        <v>29</v>
      </c>
      <c r="AT7" s="166"/>
      <c r="AU7" s="164" t="s">
        <v>116</v>
      </c>
      <c r="AV7" s="132"/>
      <c r="AW7" s="165" t="s">
        <v>29</v>
      </c>
      <c r="AX7" s="166"/>
      <c r="AY7" s="164" t="s">
        <v>91</v>
      </c>
      <c r="AZ7" s="132"/>
      <c r="BA7" s="165" t="s">
        <v>29</v>
      </c>
      <c r="BB7" s="166"/>
      <c r="BC7" s="164" t="s">
        <v>117</v>
      </c>
      <c r="BD7" s="132"/>
      <c r="BE7" s="165" t="s">
        <v>29</v>
      </c>
      <c r="BF7" s="166"/>
      <c r="BG7" s="164" t="s">
        <v>84</v>
      </c>
      <c r="BH7" s="132"/>
      <c r="BI7" s="165" t="s">
        <v>29</v>
      </c>
      <c r="BJ7" s="166"/>
      <c r="BK7" s="164" t="s">
        <v>119</v>
      </c>
      <c r="BL7" s="132"/>
      <c r="BM7" s="165" t="s">
        <v>29</v>
      </c>
      <c r="BN7" s="166"/>
      <c r="BO7" s="164" t="s">
        <v>96</v>
      </c>
      <c r="BP7" s="132"/>
      <c r="BQ7" s="165" t="s">
        <v>29</v>
      </c>
      <c r="BR7" s="166"/>
      <c r="BS7" s="164" t="s">
        <v>106</v>
      </c>
      <c r="BT7" s="132"/>
      <c r="BU7" s="165" t="s">
        <v>29</v>
      </c>
      <c r="BV7" s="166"/>
      <c r="BW7" s="164" t="s">
        <v>95</v>
      </c>
      <c r="BX7" s="132"/>
      <c r="BY7" s="165" t="s">
        <v>29</v>
      </c>
      <c r="BZ7" s="166"/>
      <c r="CA7" s="164" t="s">
        <v>108</v>
      </c>
      <c r="CB7" s="132"/>
      <c r="CC7" s="165" t="s">
        <v>29</v>
      </c>
      <c r="CD7" s="166"/>
      <c r="CE7" s="164" t="s">
        <v>109</v>
      </c>
      <c r="CF7" s="132"/>
      <c r="CG7" s="165" t="s">
        <v>29</v>
      </c>
      <c r="CH7" s="166"/>
      <c r="CI7" s="164" t="s">
        <v>114</v>
      </c>
      <c r="CJ7" s="132"/>
      <c r="CK7" s="165" t="s">
        <v>29</v>
      </c>
      <c r="CL7" s="166"/>
      <c r="CM7" s="177" t="s">
        <v>102</v>
      </c>
      <c r="CN7" s="132"/>
      <c r="CO7" s="165" t="s">
        <v>29</v>
      </c>
      <c r="CP7" s="166"/>
      <c r="CQ7" s="177" t="s">
        <v>94</v>
      </c>
      <c r="CR7" s="132"/>
      <c r="CS7" s="165" t="s">
        <v>29</v>
      </c>
      <c r="CT7" s="166"/>
      <c r="CU7" s="176" t="s">
        <v>93</v>
      </c>
      <c r="CV7" s="132"/>
      <c r="CW7" s="165" t="s">
        <v>29</v>
      </c>
      <c r="CX7" s="166"/>
      <c r="CY7" s="176" t="s">
        <v>115</v>
      </c>
      <c r="CZ7" s="132"/>
      <c r="DA7" s="165" t="s">
        <v>29</v>
      </c>
      <c r="DB7" s="166"/>
      <c r="DC7" s="6"/>
    </row>
    <row r="8" spans="1:107" ht="15" customHeight="1" x14ac:dyDescent="0.25">
      <c r="A8" s="20" t="str">
        <f>CLEAN(BUUG!A8)</f>
        <v>#</v>
      </c>
      <c r="B8" s="20" t="s">
        <v>34</v>
      </c>
      <c r="C8" s="66" t="s">
        <v>35</v>
      </c>
      <c r="D8" s="66" t="s">
        <v>36</v>
      </c>
      <c r="E8" s="22" t="s">
        <v>35</v>
      </c>
      <c r="F8" s="22" t="s">
        <v>36</v>
      </c>
      <c r="G8" s="66" t="s">
        <v>35</v>
      </c>
      <c r="H8" s="66" t="s">
        <v>36</v>
      </c>
      <c r="I8" s="22" t="s">
        <v>35</v>
      </c>
      <c r="J8" s="22" t="s">
        <v>36</v>
      </c>
      <c r="K8" s="66" t="s">
        <v>35</v>
      </c>
      <c r="L8" s="66" t="s">
        <v>36</v>
      </c>
      <c r="M8" s="22" t="s">
        <v>35</v>
      </c>
      <c r="N8" s="22" t="s">
        <v>36</v>
      </c>
      <c r="O8" s="66" t="s">
        <v>35</v>
      </c>
      <c r="P8" s="66" t="s">
        <v>36</v>
      </c>
      <c r="Q8" s="22" t="s">
        <v>35</v>
      </c>
      <c r="R8" s="22" t="s">
        <v>36</v>
      </c>
      <c r="S8" s="66" t="s">
        <v>35</v>
      </c>
      <c r="T8" s="66" t="s">
        <v>36</v>
      </c>
      <c r="U8" s="22" t="s">
        <v>35</v>
      </c>
      <c r="V8" s="22" t="s">
        <v>36</v>
      </c>
      <c r="W8" s="66" t="s">
        <v>35</v>
      </c>
      <c r="X8" s="66" t="s">
        <v>36</v>
      </c>
      <c r="Y8" s="22" t="s">
        <v>35</v>
      </c>
      <c r="Z8" s="22" t="s">
        <v>36</v>
      </c>
      <c r="AA8" s="66" t="s">
        <v>35</v>
      </c>
      <c r="AB8" s="66" t="s">
        <v>36</v>
      </c>
      <c r="AC8" s="22" t="s">
        <v>35</v>
      </c>
      <c r="AD8" s="22" t="s">
        <v>36</v>
      </c>
      <c r="AE8" s="66" t="s">
        <v>35</v>
      </c>
      <c r="AF8" s="66" t="s">
        <v>36</v>
      </c>
      <c r="AG8" s="22" t="s">
        <v>35</v>
      </c>
      <c r="AH8" s="22" t="s">
        <v>36</v>
      </c>
      <c r="AI8" s="66" t="s">
        <v>35</v>
      </c>
      <c r="AJ8" s="66" t="s">
        <v>36</v>
      </c>
      <c r="AK8" s="22" t="s">
        <v>35</v>
      </c>
      <c r="AL8" s="22" t="s">
        <v>36</v>
      </c>
      <c r="AM8" s="66" t="s">
        <v>35</v>
      </c>
      <c r="AN8" s="66" t="s">
        <v>36</v>
      </c>
      <c r="AO8" s="22" t="s">
        <v>35</v>
      </c>
      <c r="AP8" s="22" t="s">
        <v>36</v>
      </c>
      <c r="AQ8" s="66" t="s">
        <v>35</v>
      </c>
      <c r="AR8" s="66" t="s">
        <v>36</v>
      </c>
      <c r="AS8" s="22" t="s">
        <v>35</v>
      </c>
      <c r="AT8" s="22" t="s">
        <v>36</v>
      </c>
      <c r="AU8" s="66" t="s">
        <v>35</v>
      </c>
      <c r="AV8" s="66" t="s">
        <v>36</v>
      </c>
      <c r="AW8" s="22" t="s">
        <v>35</v>
      </c>
      <c r="AX8" s="22" t="s">
        <v>36</v>
      </c>
      <c r="AY8" s="66" t="s">
        <v>35</v>
      </c>
      <c r="AZ8" s="66" t="s">
        <v>36</v>
      </c>
      <c r="BA8" s="22" t="s">
        <v>35</v>
      </c>
      <c r="BB8" s="22" t="s">
        <v>36</v>
      </c>
      <c r="BC8" s="66" t="s">
        <v>35</v>
      </c>
      <c r="BD8" s="66" t="s">
        <v>36</v>
      </c>
      <c r="BE8" s="22" t="s">
        <v>35</v>
      </c>
      <c r="BF8" s="22" t="s">
        <v>36</v>
      </c>
      <c r="BG8" s="66" t="s">
        <v>35</v>
      </c>
      <c r="BH8" s="66" t="s">
        <v>36</v>
      </c>
      <c r="BI8" s="22" t="s">
        <v>35</v>
      </c>
      <c r="BJ8" s="22" t="s">
        <v>36</v>
      </c>
      <c r="BK8" s="66" t="s">
        <v>35</v>
      </c>
      <c r="BL8" s="66" t="s">
        <v>36</v>
      </c>
      <c r="BM8" s="22" t="s">
        <v>35</v>
      </c>
      <c r="BN8" s="22" t="s">
        <v>36</v>
      </c>
      <c r="BO8" s="66" t="s">
        <v>35</v>
      </c>
      <c r="BP8" s="66" t="s">
        <v>36</v>
      </c>
      <c r="BQ8" s="22" t="s">
        <v>35</v>
      </c>
      <c r="BR8" s="22" t="s">
        <v>36</v>
      </c>
      <c r="BS8" s="66" t="s">
        <v>35</v>
      </c>
      <c r="BT8" s="66" t="s">
        <v>36</v>
      </c>
      <c r="BU8" s="22" t="s">
        <v>35</v>
      </c>
      <c r="BV8" s="22" t="s">
        <v>36</v>
      </c>
      <c r="BW8" s="66" t="s">
        <v>35</v>
      </c>
      <c r="BX8" s="66" t="s">
        <v>36</v>
      </c>
      <c r="BY8" s="22" t="s">
        <v>35</v>
      </c>
      <c r="BZ8" s="22" t="s">
        <v>36</v>
      </c>
      <c r="CA8" s="66" t="s">
        <v>35</v>
      </c>
      <c r="CB8" s="66" t="s">
        <v>36</v>
      </c>
      <c r="CC8" s="22" t="s">
        <v>35</v>
      </c>
      <c r="CD8" s="22" t="s">
        <v>36</v>
      </c>
      <c r="CE8" s="66" t="s">
        <v>35</v>
      </c>
      <c r="CF8" s="66" t="s">
        <v>36</v>
      </c>
      <c r="CG8" s="22" t="s">
        <v>35</v>
      </c>
      <c r="CH8" s="22" t="s">
        <v>36</v>
      </c>
      <c r="CI8" s="66" t="s">
        <v>35</v>
      </c>
      <c r="CJ8" s="66" t="s">
        <v>36</v>
      </c>
      <c r="CK8" s="22" t="s">
        <v>35</v>
      </c>
      <c r="CL8" s="22" t="s">
        <v>36</v>
      </c>
      <c r="CM8" s="66" t="s">
        <v>35</v>
      </c>
      <c r="CN8" s="66" t="s">
        <v>36</v>
      </c>
      <c r="CO8" s="22" t="s">
        <v>35</v>
      </c>
      <c r="CP8" s="22" t="s">
        <v>36</v>
      </c>
      <c r="CQ8" s="66" t="s">
        <v>35</v>
      </c>
      <c r="CR8" s="66" t="s">
        <v>36</v>
      </c>
      <c r="CS8" s="22" t="s">
        <v>35</v>
      </c>
      <c r="CT8" s="22" t="s">
        <v>36</v>
      </c>
      <c r="CU8" s="34" t="s">
        <v>35</v>
      </c>
      <c r="CV8" s="34" t="s">
        <v>36</v>
      </c>
      <c r="CW8" s="22" t="s">
        <v>35</v>
      </c>
      <c r="CX8" s="22" t="s">
        <v>36</v>
      </c>
      <c r="CY8" s="34" t="s">
        <v>35</v>
      </c>
      <c r="CZ8" s="34" t="s">
        <v>36</v>
      </c>
      <c r="DA8" s="22" t="s">
        <v>35</v>
      </c>
      <c r="DB8" s="22" t="s">
        <v>36</v>
      </c>
      <c r="DC8" s="67"/>
    </row>
    <row r="9" spans="1:107" ht="14.25" customHeight="1" x14ac:dyDescent="0.2">
      <c r="A9" s="96"/>
      <c r="B9" s="96"/>
      <c r="C9" s="103"/>
      <c r="D9" s="90"/>
      <c r="E9" s="97"/>
      <c r="F9" s="97"/>
      <c r="G9" s="90"/>
      <c r="H9" s="90"/>
      <c r="I9" s="97"/>
      <c r="J9" s="97"/>
      <c r="K9" s="90"/>
      <c r="L9" s="90"/>
      <c r="M9" s="97"/>
      <c r="N9" s="97"/>
      <c r="O9" s="90"/>
      <c r="P9" s="90"/>
      <c r="Q9" s="97"/>
      <c r="R9" s="97"/>
      <c r="S9" s="90"/>
      <c r="T9" s="90"/>
      <c r="U9" s="97"/>
      <c r="V9" s="97"/>
      <c r="W9" s="90"/>
      <c r="X9" s="90"/>
      <c r="Y9" s="97"/>
      <c r="Z9" s="97"/>
      <c r="AA9" s="90"/>
      <c r="AB9" s="90"/>
      <c r="AC9" s="97"/>
      <c r="AD9" s="97"/>
      <c r="AE9" s="90"/>
      <c r="AF9" s="90"/>
      <c r="AG9" s="97"/>
      <c r="AH9" s="97"/>
      <c r="AI9" s="90"/>
      <c r="AJ9" s="90"/>
      <c r="AK9" s="97"/>
      <c r="AL9" s="97"/>
      <c r="AM9" s="90"/>
      <c r="AN9" s="90"/>
      <c r="AO9" s="97"/>
      <c r="AP9" s="97"/>
      <c r="AQ9" s="90"/>
      <c r="AR9" s="90"/>
      <c r="AS9" s="97"/>
      <c r="AT9" s="97"/>
      <c r="AU9" s="90"/>
      <c r="AV9" s="90"/>
      <c r="AW9" s="97"/>
      <c r="AX9" s="97"/>
      <c r="AY9" s="90"/>
      <c r="AZ9" s="90"/>
      <c r="BA9" s="97"/>
      <c r="BB9" s="97"/>
      <c r="BC9" s="90"/>
      <c r="BD9" s="90"/>
      <c r="BE9" s="97"/>
      <c r="BF9" s="97"/>
      <c r="BG9" s="90"/>
      <c r="BH9" s="90"/>
      <c r="BI9" s="97"/>
      <c r="BJ9" s="97"/>
      <c r="BK9" s="90"/>
      <c r="BL9" s="90"/>
      <c r="BM9" s="97"/>
      <c r="BN9" s="97"/>
      <c r="BO9" s="90"/>
      <c r="BP9" s="90"/>
      <c r="BQ9" s="97"/>
      <c r="BR9" s="97"/>
      <c r="BS9" s="90"/>
      <c r="BT9" s="90"/>
      <c r="BU9" s="97"/>
      <c r="BV9" s="97"/>
      <c r="BW9" s="90"/>
      <c r="BX9" s="90"/>
      <c r="BY9" s="97"/>
      <c r="BZ9" s="97"/>
      <c r="CA9" s="90"/>
      <c r="CB9" s="90"/>
      <c r="CC9" s="97"/>
      <c r="CD9" s="97"/>
      <c r="CE9" s="90"/>
      <c r="CF9" s="90"/>
      <c r="CG9" s="97"/>
      <c r="CH9" s="97"/>
      <c r="CI9" s="90"/>
      <c r="CJ9" s="90"/>
      <c r="CK9" s="97"/>
      <c r="CL9" s="97"/>
      <c r="CM9" s="90"/>
      <c r="CN9" s="90"/>
      <c r="CO9" s="97"/>
      <c r="CP9" s="97"/>
      <c r="CQ9" s="90"/>
      <c r="CR9" s="90"/>
      <c r="CS9" s="97"/>
      <c r="CT9" s="97"/>
      <c r="CU9" s="90"/>
      <c r="CV9" s="90"/>
      <c r="CW9" s="97"/>
      <c r="CX9" s="97"/>
      <c r="CY9" s="90"/>
      <c r="CZ9" s="90"/>
      <c r="DA9" s="97"/>
      <c r="DB9" s="97"/>
      <c r="DC9" s="68"/>
    </row>
    <row r="10" spans="1:107" ht="14.25" customHeight="1" x14ac:dyDescent="0.2">
      <c r="A10" s="96"/>
      <c r="B10" s="96"/>
      <c r="C10" s="90"/>
      <c r="D10" s="90"/>
      <c r="E10" s="97"/>
      <c r="F10" s="97"/>
      <c r="G10" s="90"/>
      <c r="H10" s="90"/>
      <c r="I10" s="97"/>
      <c r="J10" s="97"/>
      <c r="K10" s="90"/>
      <c r="L10" s="90"/>
      <c r="M10" s="97"/>
      <c r="N10" s="97"/>
      <c r="O10" s="90"/>
      <c r="P10" s="90"/>
      <c r="Q10" s="97"/>
      <c r="R10" s="97"/>
      <c r="S10" s="90"/>
      <c r="T10" s="90"/>
      <c r="U10" s="97"/>
      <c r="V10" s="97"/>
      <c r="W10" s="90"/>
      <c r="X10" s="90"/>
      <c r="Y10" s="97"/>
      <c r="Z10" s="97"/>
      <c r="AA10" s="90"/>
      <c r="AB10" s="90"/>
      <c r="AC10" s="97"/>
      <c r="AD10" s="97"/>
      <c r="AE10" s="90"/>
      <c r="AF10" s="90"/>
      <c r="AG10" s="97"/>
      <c r="AH10" s="97"/>
      <c r="AI10" s="90"/>
      <c r="AJ10" s="90"/>
      <c r="AK10" s="97"/>
      <c r="AL10" s="97"/>
      <c r="AM10" s="90"/>
      <c r="AN10" s="90"/>
      <c r="AO10" s="97"/>
      <c r="AP10" s="97"/>
      <c r="AQ10" s="90"/>
      <c r="AR10" s="90"/>
      <c r="AS10" s="97"/>
      <c r="AT10" s="97"/>
      <c r="AU10" s="90"/>
      <c r="AV10" s="90"/>
      <c r="AW10" s="97"/>
      <c r="AX10" s="97"/>
      <c r="AY10" s="90"/>
      <c r="AZ10" s="90"/>
      <c r="BA10" s="97"/>
      <c r="BB10" s="97"/>
      <c r="BC10" s="90"/>
      <c r="BD10" s="90"/>
      <c r="BE10" s="97"/>
      <c r="BF10" s="97"/>
      <c r="BG10" s="90"/>
      <c r="BH10" s="90"/>
      <c r="BI10" s="97"/>
      <c r="BJ10" s="97"/>
      <c r="BK10" s="90"/>
      <c r="BL10" s="90"/>
      <c r="BM10" s="97"/>
      <c r="BN10" s="97"/>
      <c r="BO10" s="90"/>
      <c r="BP10" s="90"/>
      <c r="BQ10" s="97"/>
      <c r="BR10" s="97"/>
      <c r="BS10" s="90"/>
      <c r="BT10" s="90"/>
      <c r="BU10" s="97"/>
      <c r="BV10" s="97"/>
      <c r="BW10" s="90"/>
      <c r="BX10" s="90"/>
      <c r="BY10" s="97"/>
      <c r="BZ10" s="97"/>
      <c r="CA10" s="90"/>
      <c r="CB10" s="90"/>
      <c r="CC10" s="97"/>
      <c r="CD10" s="97"/>
      <c r="CE10" s="90"/>
      <c r="CF10" s="90"/>
      <c r="CG10" s="97"/>
      <c r="CH10" s="97"/>
      <c r="CI10" s="90"/>
      <c r="CJ10" s="90"/>
      <c r="CK10" s="97"/>
      <c r="CL10" s="97"/>
      <c r="CM10" s="90"/>
      <c r="CN10" s="90"/>
      <c r="CO10" s="97"/>
      <c r="CP10" s="97"/>
      <c r="CQ10" s="90"/>
      <c r="CR10" s="90"/>
      <c r="CS10" s="97"/>
      <c r="CT10" s="97"/>
      <c r="CU10" s="90"/>
      <c r="CV10" s="90"/>
      <c r="CW10" s="97"/>
      <c r="CX10" s="97"/>
      <c r="CY10" s="90"/>
      <c r="CZ10" s="90"/>
      <c r="DA10" s="97"/>
      <c r="DB10" s="97"/>
      <c r="DC10" s="67"/>
    </row>
    <row r="11" spans="1:107" ht="14.25" customHeight="1" x14ac:dyDescent="0.2">
      <c r="A11" s="96"/>
      <c r="B11" s="96"/>
      <c r="C11" s="90"/>
      <c r="D11" s="90"/>
      <c r="E11" s="97"/>
      <c r="F11" s="97"/>
      <c r="G11" s="90"/>
      <c r="H11" s="90"/>
      <c r="I11" s="97"/>
      <c r="J11" s="97"/>
      <c r="K11" s="90"/>
      <c r="L11" s="90"/>
      <c r="M11" s="97"/>
      <c r="N11" s="97"/>
      <c r="O11" s="90"/>
      <c r="P11" s="90"/>
      <c r="Q11" s="97"/>
      <c r="R11" s="97"/>
      <c r="S11" s="90"/>
      <c r="T11" s="90"/>
      <c r="U11" s="97"/>
      <c r="V11" s="97"/>
      <c r="W11" s="90"/>
      <c r="X11" s="90"/>
      <c r="Y11" s="97"/>
      <c r="Z11" s="97"/>
      <c r="AA11" s="90"/>
      <c r="AB11" s="90"/>
      <c r="AC11" s="97"/>
      <c r="AD11" s="97"/>
      <c r="AE11" s="90"/>
      <c r="AF11" s="90"/>
      <c r="AG11" s="97"/>
      <c r="AH11" s="97"/>
      <c r="AI11" s="90"/>
      <c r="AJ11" s="90"/>
      <c r="AK11" s="97"/>
      <c r="AL11" s="97"/>
      <c r="AM11" s="90"/>
      <c r="AN11" s="90"/>
      <c r="AO11" s="97"/>
      <c r="AP11" s="97"/>
      <c r="AQ11" s="90"/>
      <c r="AR11" s="90"/>
      <c r="AS11" s="97"/>
      <c r="AT11" s="97"/>
      <c r="AU11" s="90"/>
      <c r="AV11" s="90"/>
      <c r="AW11" s="97"/>
      <c r="AX11" s="97"/>
      <c r="AY11" s="90"/>
      <c r="AZ11" s="90"/>
      <c r="BA11" s="97"/>
      <c r="BB11" s="97"/>
      <c r="BC11" s="90"/>
      <c r="BD11" s="90"/>
      <c r="BE11" s="97"/>
      <c r="BF11" s="97"/>
      <c r="BG11" s="90"/>
      <c r="BH11" s="90"/>
      <c r="BI11" s="97"/>
      <c r="BJ11" s="97"/>
      <c r="BK11" s="90"/>
      <c r="BL11" s="90"/>
      <c r="BM11" s="97"/>
      <c r="BN11" s="97"/>
      <c r="BO11" s="90"/>
      <c r="BP11" s="90"/>
      <c r="BQ11" s="97"/>
      <c r="BR11" s="97"/>
      <c r="BS11" s="90"/>
      <c r="BT11" s="90"/>
      <c r="BU11" s="97"/>
      <c r="BV11" s="97"/>
      <c r="BW11" s="90"/>
      <c r="BX11" s="90"/>
      <c r="BY11" s="97"/>
      <c r="BZ11" s="97"/>
      <c r="CA11" s="90"/>
      <c r="CB11" s="90"/>
      <c r="CC11" s="97"/>
      <c r="CD11" s="97"/>
      <c r="CE11" s="90"/>
      <c r="CF11" s="90"/>
      <c r="CG11" s="97"/>
      <c r="CH11" s="97"/>
      <c r="CI11" s="90"/>
      <c r="CJ11" s="90"/>
      <c r="CK11" s="97"/>
      <c r="CL11" s="97"/>
      <c r="CM11" s="90"/>
      <c r="CN11" s="90"/>
      <c r="CO11" s="97"/>
      <c r="CP11" s="97"/>
      <c r="CQ11" s="90"/>
      <c r="CR11" s="90"/>
      <c r="CS11" s="97"/>
      <c r="CT11" s="97"/>
      <c r="CU11" s="90"/>
      <c r="CV11" s="90"/>
      <c r="CW11" s="97"/>
      <c r="CX11" s="97"/>
      <c r="CY11" s="90"/>
      <c r="CZ11" s="90"/>
      <c r="DA11" s="97"/>
      <c r="DB11" s="97"/>
      <c r="DC11" s="67"/>
    </row>
    <row r="12" spans="1:107" ht="14.25" customHeight="1" x14ac:dyDescent="0.2">
      <c r="A12" s="96"/>
      <c r="B12" s="96"/>
      <c r="C12" s="90"/>
      <c r="D12" s="90"/>
      <c r="E12" s="97"/>
      <c r="F12" s="97"/>
      <c r="G12" s="90"/>
      <c r="H12" s="90"/>
      <c r="I12" s="97"/>
      <c r="J12" s="97"/>
      <c r="K12" s="90"/>
      <c r="L12" s="90"/>
      <c r="M12" s="97"/>
      <c r="N12" s="97"/>
      <c r="O12" s="90"/>
      <c r="P12" s="90"/>
      <c r="Q12" s="97"/>
      <c r="R12" s="97"/>
      <c r="S12" s="90"/>
      <c r="T12" s="90"/>
      <c r="U12" s="97"/>
      <c r="V12" s="97"/>
      <c r="W12" s="90"/>
      <c r="X12" s="90"/>
      <c r="Y12" s="97"/>
      <c r="Z12" s="97"/>
      <c r="AA12" s="90"/>
      <c r="AB12" s="90"/>
      <c r="AC12" s="97"/>
      <c r="AD12" s="97"/>
      <c r="AE12" s="90"/>
      <c r="AF12" s="90"/>
      <c r="AG12" s="97"/>
      <c r="AH12" s="97"/>
      <c r="AI12" s="90"/>
      <c r="AJ12" s="90"/>
      <c r="AK12" s="97"/>
      <c r="AL12" s="97"/>
      <c r="AM12" s="90"/>
      <c r="AN12" s="90"/>
      <c r="AO12" s="97"/>
      <c r="AP12" s="97"/>
      <c r="AQ12" s="90"/>
      <c r="AR12" s="90"/>
      <c r="AS12" s="97"/>
      <c r="AT12" s="97"/>
      <c r="AU12" s="90"/>
      <c r="AV12" s="90"/>
      <c r="AW12" s="97"/>
      <c r="AX12" s="97"/>
      <c r="AY12" s="90"/>
      <c r="AZ12" s="90"/>
      <c r="BA12" s="97"/>
      <c r="BB12" s="97"/>
      <c r="BC12" s="90"/>
      <c r="BD12" s="90"/>
      <c r="BE12" s="97"/>
      <c r="BF12" s="97"/>
      <c r="BG12" s="90"/>
      <c r="BH12" s="90"/>
      <c r="BI12" s="97"/>
      <c r="BJ12" s="97"/>
      <c r="BK12" s="90"/>
      <c r="BL12" s="90"/>
      <c r="BM12" s="97"/>
      <c r="BN12" s="97"/>
      <c r="BO12" s="90"/>
      <c r="BP12" s="90"/>
      <c r="BQ12" s="97"/>
      <c r="BR12" s="97"/>
      <c r="BS12" s="90"/>
      <c r="BT12" s="90"/>
      <c r="BU12" s="97"/>
      <c r="BV12" s="97"/>
      <c r="BW12" s="90"/>
      <c r="BX12" s="90"/>
      <c r="BY12" s="97"/>
      <c r="BZ12" s="97"/>
      <c r="CA12" s="90"/>
      <c r="CB12" s="90"/>
      <c r="CC12" s="97"/>
      <c r="CD12" s="97"/>
      <c r="CE12" s="90"/>
      <c r="CF12" s="90"/>
      <c r="CG12" s="97"/>
      <c r="CH12" s="97"/>
      <c r="CI12" s="90"/>
      <c r="CJ12" s="90"/>
      <c r="CK12" s="97"/>
      <c r="CL12" s="97"/>
      <c r="CM12" s="90"/>
      <c r="CN12" s="90"/>
      <c r="CO12" s="97"/>
      <c r="CP12" s="97"/>
      <c r="CQ12" s="90"/>
      <c r="CR12" s="90"/>
      <c r="CS12" s="97"/>
      <c r="CT12" s="97"/>
      <c r="CU12" s="90"/>
      <c r="CV12" s="90"/>
      <c r="CW12" s="97"/>
      <c r="CX12" s="97"/>
      <c r="CY12" s="90"/>
      <c r="CZ12" s="90"/>
      <c r="DA12" s="97"/>
      <c r="DB12" s="97"/>
      <c r="DC12" s="67"/>
    </row>
    <row r="13" spans="1:107" ht="14.25" customHeight="1" x14ac:dyDescent="0.2">
      <c r="A13" s="96"/>
      <c r="B13" s="96"/>
      <c r="C13" s="90"/>
      <c r="D13" s="90"/>
      <c r="E13" s="97"/>
      <c r="F13" s="97"/>
      <c r="G13" s="90"/>
      <c r="H13" s="90"/>
      <c r="I13" s="97"/>
      <c r="J13" s="97"/>
      <c r="K13" s="90"/>
      <c r="L13" s="90"/>
      <c r="M13" s="97"/>
      <c r="N13" s="97"/>
      <c r="O13" s="90"/>
      <c r="P13" s="90"/>
      <c r="Q13" s="97"/>
      <c r="R13" s="97"/>
      <c r="S13" s="90"/>
      <c r="T13" s="90"/>
      <c r="U13" s="97"/>
      <c r="V13" s="97"/>
      <c r="W13" s="90"/>
      <c r="X13" s="90"/>
      <c r="Y13" s="97"/>
      <c r="Z13" s="97"/>
      <c r="AA13" s="90"/>
      <c r="AB13" s="90"/>
      <c r="AC13" s="97"/>
      <c r="AD13" s="97"/>
      <c r="AE13" s="90"/>
      <c r="AF13" s="90"/>
      <c r="AG13" s="97"/>
      <c r="AH13" s="97"/>
      <c r="AI13" s="90"/>
      <c r="AJ13" s="90"/>
      <c r="AK13" s="97"/>
      <c r="AL13" s="97"/>
      <c r="AM13" s="90"/>
      <c r="AN13" s="90"/>
      <c r="AO13" s="97"/>
      <c r="AP13" s="97"/>
      <c r="AQ13" s="90"/>
      <c r="AR13" s="90"/>
      <c r="AS13" s="97"/>
      <c r="AT13" s="97"/>
      <c r="AU13" s="90"/>
      <c r="AV13" s="90"/>
      <c r="AW13" s="97"/>
      <c r="AX13" s="97"/>
      <c r="AY13" s="90"/>
      <c r="AZ13" s="90"/>
      <c r="BA13" s="97"/>
      <c r="BB13" s="97"/>
      <c r="BC13" s="90"/>
      <c r="BD13" s="90"/>
      <c r="BE13" s="97"/>
      <c r="BF13" s="97"/>
      <c r="BG13" s="90"/>
      <c r="BH13" s="90"/>
      <c r="BI13" s="97"/>
      <c r="BJ13" s="97"/>
      <c r="BK13" s="90"/>
      <c r="BL13" s="90"/>
      <c r="BM13" s="97"/>
      <c r="BN13" s="97"/>
      <c r="BO13" s="90"/>
      <c r="BP13" s="90"/>
      <c r="BQ13" s="97"/>
      <c r="BR13" s="97"/>
      <c r="BS13" s="90"/>
      <c r="BT13" s="90"/>
      <c r="BU13" s="97"/>
      <c r="BV13" s="97"/>
      <c r="BW13" s="90"/>
      <c r="BX13" s="90"/>
      <c r="BY13" s="97"/>
      <c r="BZ13" s="97"/>
      <c r="CA13" s="90"/>
      <c r="CB13" s="90"/>
      <c r="CC13" s="97"/>
      <c r="CD13" s="97"/>
      <c r="CE13" s="90"/>
      <c r="CF13" s="90"/>
      <c r="CG13" s="97"/>
      <c r="CH13" s="97"/>
      <c r="CI13" s="90"/>
      <c r="CJ13" s="90"/>
      <c r="CK13" s="97"/>
      <c r="CL13" s="97"/>
      <c r="CM13" s="90"/>
      <c r="CN13" s="90"/>
      <c r="CO13" s="97"/>
      <c r="CP13" s="97"/>
      <c r="CQ13" s="90"/>
      <c r="CR13" s="90"/>
      <c r="CS13" s="97"/>
      <c r="CT13" s="97"/>
      <c r="CU13" s="90"/>
      <c r="CV13" s="90"/>
      <c r="CW13" s="97"/>
      <c r="CX13" s="97"/>
      <c r="CY13" s="90"/>
      <c r="CZ13" s="90"/>
      <c r="DA13" s="97"/>
      <c r="DB13" s="97"/>
      <c r="DC13" s="67"/>
    </row>
    <row r="14" spans="1:107" ht="14.25" customHeight="1" x14ac:dyDescent="0.2">
      <c r="A14" s="96"/>
      <c r="B14" s="96"/>
      <c r="C14" s="90"/>
      <c r="D14" s="90"/>
      <c r="E14" s="120"/>
      <c r="F14" s="120"/>
      <c r="G14" s="90"/>
      <c r="H14" s="90"/>
      <c r="I14" s="97"/>
      <c r="J14" s="97"/>
      <c r="K14" s="90"/>
      <c r="L14" s="90"/>
      <c r="M14" s="97"/>
      <c r="N14" s="97"/>
      <c r="O14" s="90"/>
      <c r="P14" s="90"/>
      <c r="Q14" s="97"/>
      <c r="R14" s="97"/>
      <c r="S14" s="90"/>
      <c r="T14" s="90"/>
      <c r="U14" s="97"/>
      <c r="V14" s="97"/>
      <c r="W14" s="90"/>
      <c r="X14" s="90"/>
      <c r="Y14" s="97"/>
      <c r="Z14" s="97"/>
      <c r="AA14" s="90"/>
      <c r="AB14" s="90"/>
      <c r="AC14" s="97"/>
      <c r="AD14" s="97"/>
      <c r="AE14" s="90"/>
      <c r="AF14" s="90"/>
      <c r="AG14" s="97"/>
      <c r="AH14" s="97"/>
      <c r="AI14" s="90"/>
      <c r="AJ14" s="90"/>
      <c r="AK14" s="97"/>
      <c r="AL14" s="97"/>
      <c r="AM14" s="90"/>
      <c r="AN14" s="90"/>
      <c r="AO14" s="97"/>
      <c r="AP14" s="97"/>
      <c r="AQ14" s="90"/>
      <c r="AR14" s="90"/>
      <c r="AS14" s="97"/>
      <c r="AT14" s="97"/>
      <c r="AU14" s="90"/>
      <c r="AV14" s="90"/>
      <c r="AW14" s="97"/>
      <c r="AX14" s="97"/>
      <c r="AY14" s="90"/>
      <c r="AZ14" s="90"/>
      <c r="BA14" s="97"/>
      <c r="BB14" s="97"/>
      <c r="BC14" s="90"/>
      <c r="BD14" s="90"/>
      <c r="BE14" s="97"/>
      <c r="BF14" s="97"/>
      <c r="BG14" s="90"/>
      <c r="BH14" s="90"/>
      <c r="BI14" s="97"/>
      <c r="BJ14" s="97"/>
      <c r="BK14" s="90"/>
      <c r="BL14" s="90"/>
      <c r="BM14" s="97"/>
      <c r="BN14" s="97"/>
      <c r="BO14" s="90"/>
      <c r="BP14" s="90"/>
      <c r="BQ14" s="97"/>
      <c r="BR14" s="97"/>
      <c r="BS14" s="90"/>
      <c r="BT14" s="90"/>
      <c r="BU14" s="97"/>
      <c r="BV14" s="97"/>
      <c r="BW14" s="90"/>
      <c r="BX14" s="90"/>
      <c r="BY14" s="97"/>
      <c r="BZ14" s="97"/>
      <c r="CA14" s="90"/>
      <c r="CB14" s="90"/>
      <c r="CC14" s="97"/>
      <c r="CD14" s="97"/>
      <c r="CE14" s="90"/>
      <c r="CF14" s="90"/>
      <c r="CG14" s="97"/>
      <c r="CH14" s="97"/>
      <c r="CI14" s="90"/>
      <c r="CJ14" s="90"/>
      <c r="CK14" s="97"/>
      <c r="CL14" s="97"/>
      <c r="CM14" s="90"/>
      <c r="CN14" s="90"/>
      <c r="CO14" s="97"/>
      <c r="CP14" s="97"/>
      <c r="CQ14" s="90"/>
      <c r="CR14" s="90"/>
      <c r="CS14" s="97"/>
      <c r="CT14" s="97"/>
      <c r="CU14" s="90"/>
      <c r="CV14" s="90"/>
      <c r="CW14" s="97"/>
      <c r="CX14" s="97"/>
      <c r="CY14" s="90"/>
      <c r="CZ14" s="90"/>
      <c r="DA14" s="97"/>
      <c r="DB14" s="97"/>
      <c r="DC14" s="67"/>
    </row>
    <row r="15" spans="1:107" ht="14.25" customHeight="1" x14ac:dyDescent="0.2">
      <c r="A15" s="96"/>
      <c r="B15" s="96"/>
      <c r="C15" s="90"/>
      <c r="D15" s="90"/>
      <c r="E15" s="97"/>
      <c r="F15" s="97"/>
      <c r="G15" s="90"/>
      <c r="H15" s="90"/>
      <c r="I15" s="97"/>
      <c r="J15" s="97"/>
      <c r="K15" s="90"/>
      <c r="L15" s="90"/>
      <c r="M15" s="97"/>
      <c r="N15" s="97"/>
      <c r="O15" s="90"/>
      <c r="P15" s="90"/>
      <c r="Q15" s="97"/>
      <c r="R15" s="97"/>
      <c r="S15" s="90"/>
      <c r="T15" s="90"/>
      <c r="U15" s="97"/>
      <c r="V15" s="97"/>
      <c r="W15" s="90"/>
      <c r="X15" s="90"/>
      <c r="Y15" s="97"/>
      <c r="Z15" s="97"/>
      <c r="AA15" s="90"/>
      <c r="AB15" s="90"/>
      <c r="AC15" s="97"/>
      <c r="AD15" s="97"/>
      <c r="AE15" s="90"/>
      <c r="AF15" s="90"/>
      <c r="AG15" s="97"/>
      <c r="AH15" s="97"/>
      <c r="AI15" s="90"/>
      <c r="AJ15" s="90"/>
      <c r="AK15" s="97"/>
      <c r="AL15" s="97"/>
      <c r="AM15" s="90"/>
      <c r="AN15" s="90"/>
      <c r="AO15" s="97"/>
      <c r="AP15" s="97"/>
      <c r="AQ15" s="90"/>
      <c r="AR15" s="90"/>
      <c r="AS15" s="97"/>
      <c r="AT15" s="97"/>
      <c r="AU15" s="90"/>
      <c r="AV15" s="90"/>
      <c r="AW15" s="97"/>
      <c r="AX15" s="97"/>
      <c r="AY15" s="90"/>
      <c r="AZ15" s="90"/>
      <c r="BA15" s="97"/>
      <c r="BB15" s="97"/>
      <c r="BC15" s="90"/>
      <c r="BD15" s="90"/>
      <c r="BE15" s="97"/>
      <c r="BF15" s="97"/>
      <c r="BG15" s="90"/>
      <c r="BH15" s="90"/>
      <c r="BI15" s="97"/>
      <c r="BJ15" s="97"/>
      <c r="BK15" s="90"/>
      <c r="BL15" s="90"/>
      <c r="BM15" s="97"/>
      <c r="BN15" s="97"/>
      <c r="BO15" s="90"/>
      <c r="BP15" s="90"/>
      <c r="BQ15" s="97"/>
      <c r="BR15" s="97"/>
      <c r="BS15" s="90"/>
      <c r="BT15" s="90"/>
      <c r="BU15" s="97"/>
      <c r="BV15" s="97"/>
      <c r="BW15" s="90"/>
      <c r="BX15" s="90"/>
      <c r="BY15" s="97"/>
      <c r="BZ15" s="97"/>
      <c r="CA15" s="90"/>
      <c r="CB15" s="90"/>
      <c r="CC15" s="97"/>
      <c r="CD15" s="97"/>
      <c r="CE15" s="90"/>
      <c r="CF15" s="90"/>
      <c r="CG15" s="97"/>
      <c r="CH15" s="97"/>
      <c r="CI15" s="90"/>
      <c r="CJ15" s="90"/>
      <c r="CK15" s="97"/>
      <c r="CL15" s="97"/>
      <c r="CM15" s="90"/>
      <c r="CN15" s="90"/>
      <c r="CO15" s="97"/>
      <c r="CP15" s="97"/>
      <c r="CQ15" s="90"/>
      <c r="CR15" s="90"/>
      <c r="CS15" s="97"/>
      <c r="CT15" s="97"/>
      <c r="CU15" s="90"/>
      <c r="CV15" s="90"/>
      <c r="CW15" s="97"/>
      <c r="CX15" s="97"/>
      <c r="CY15" s="90"/>
      <c r="CZ15" s="90"/>
      <c r="DA15" s="97"/>
      <c r="DB15" s="97"/>
      <c r="DC15" s="67"/>
    </row>
    <row r="16" spans="1:107" ht="14.25" customHeight="1" x14ac:dyDescent="0.2">
      <c r="A16" s="96"/>
      <c r="B16" s="96"/>
      <c r="C16" s="90"/>
      <c r="D16" s="90"/>
      <c r="E16" s="97"/>
      <c r="F16" s="97"/>
      <c r="G16" s="90"/>
      <c r="H16" s="90"/>
      <c r="I16" s="97"/>
      <c r="J16" s="97"/>
      <c r="K16" s="90"/>
      <c r="L16" s="90"/>
      <c r="M16" s="97"/>
      <c r="N16" s="97"/>
      <c r="O16" s="90"/>
      <c r="P16" s="90"/>
      <c r="Q16" s="97"/>
      <c r="R16" s="97"/>
      <c r="S16" s="90"/>
      <c r="T16" s="90"/>
      <c r="U16" s="97"/>
      <c r="V16" s="97"/>
      <c r="W16" s="90"/>
      <c r="X16" s="90"/>
      <c r="Y16" s="97"/>
      <c r="Z16" s="97"/>
      <c r="AA16" s="90"/>
      <c r="AB16" s="90"/>
      <c r="AC16" s="97"/>
      <c r="AD16" s="97"/>
      <c r="AE16" s="90"/>
      <c r="AF16" s="90"/>
      <c r="AG16" s="97"/>
      <c r="AH16" s="97"/>
      <c r="AI16" s="90"/>
      <c r="AJ16" s="90"/>
      <c r="AK16" s="97"/>
      <c r="AL16" s="97"/>
      <c r="AM16" s="90"/>
      <c r="AN16" s="90"/>
      <c r="AO16" s="97"/>
      <c r="AP16" s="97"/>
      <c r="AQ16" s="90"/>
      <c r="AR16" s="90"/>
      <c r="AS16" s="97"/>
      <c r="AT16" s="97"/>
      <c r="AU16" s="90"/>
      <c r="AV16" s="90"/>
      <c r="AW16" s="97"/>
      <c r="AX16" s="97"/>
      <c r="AY16" s="90"/>
      <c r="AZ16" s="90"/>
      <c r="BA16" s="97"/>
      <c r="BB16" s="97"/>
      <c r="BC16" s="90"/>
      <c r="BD16" s="90"/>
      <c r="BE16" s="97"/>
      <c r="BF16" s="97"/>
      <c r="BG16" s="90"/>
      <c r="BH16" s="90"/>
      <c r="BI16" s="97"/>
      <c r="BJ16" s="97"/>
      <c r="BK16" s="90"/>
      <c r="BL16" s="90"/>
      <c r="BM16" s="97"/>
      <c r="BN16" s="97"/>
      <c r="BO16" s="90"/>
      <c r="BP16" s="90"/>
      <c r="BQ16" s="97"/>
      <c r="BR16" s="97"/>
      <c r="BS16" s="90"/>
      <c r="BT16" s="90"/>
      <c r="BU16" s="97"/>
      <c r="BV16" s="97"/>
      <c r="BW16" s="90"/>
      <c r="BX16" s="90"/>
      <c r="BY16" s="97"/>
      <c r="BZ16" s="97"/>
      <c r="CA16" s="90"/>
      <c r="CB16" s="90"/>
      <c r="CC16" s="97"/>
      <c r="CD16" s="97"/>
      <c r="CE16" s="90"/>
      <c r="CF16" s="90"/>
      <c r="CG16" s="97"/>
      <c r="CH16" s="97"/>
      <c r="CI16" s="90"/>
      <c r="CJ16" s="90"/>
      <c r="CK16" s="97"/>
      <c r="CL16" s="97"/>
      <c r="CM16" s="90"/>
      <c r="CN16" s="90"/>
      <c r="CO16" s="97"/>
      <c r="CP16" s="97"/>
      <c r="CQ16" s="90"/>
      <c r="CR16" s="90"/>
      <c r="CS16" s="97"/>
      <c r="CT16" s="97"/>
      <c r="CU16" s="90"/>
      <c r="CV16" s="90"/>
      <c r="CW16" s="97"/>
      <c r="CX16" s="97"/>
      <c r="CY16" s="90"/>
      <c r="CZ16" s="90"/>
      <c r="DA16" s="97"/>
      <c r="DB16" s="97"/>
      <c r="DC16" s="67"/>
    </row>
    <row r="17" spans="1:107" ht="14.25" customHeight="1" x14ac:dyDescent="0.2">
      <c r="A17" s="96"/>
      <c r="B17" s="96"/>
      <c r="C17" s="90"/>
      <c r="D17" s="90"/>
      <c r="E17" s="97"/>
      <c r="F17" s="97"/>
      <c r="G17" s="90"/>
      <c r="H17" s="90"/>
      <c r="I17" s="97"/>
      <c r="J17" s="97"/>
      <c r="K17" s="90"/>
      <c r="L17" s="90"/>
      <c r="M17" s="97"/>
      <c r="N17" s="97"/>
      <c r="O17" s="90"/>
      <c r="P17" s="90"/>
      <c r="Q17" s="97"/>
      <c r="R17" s="97"/>
      <c r="S17" s="90"/>
      <c r="T17" s="90"/>
      <c r="U17" s="97"/>
      <c r="V17" s="97"/>
      <c r="W17" s="90"/>
      <c r="X17" s="90"/>
      <c r="Y17" s="97"/>
      <c r="Z17" s="97"/>
      <c r="AA17" s="90"/>
      <c r="AB17" s="90"/>
      <c r="AC17" s="97"/>
      <c r="AD17" s="97"/>
      <c r="AE17" s="90"/>
      <c r="AF17" s="90"/>
      <c r="AG17" s="97"/>
      <c r="AH17" s="97"/>
      <c r="AI17" s="90"/>
      <c r="AJ17" s="90"/>
      <c r="AK17" s="97"/>
      <c r="AL17" s="97"/>
      <c r="AM17" s="90"/>
      <c r="AN17" s="90"/>
      <c r="AO17" s="97"/>
      <c r="AP17" s="97"/>
      <c r="AQ17" s="90"/>
      <c r="AR17" s="90"/>
      <c r="AS17" s="97"/>
      <c r="AT17" s="97"/>
      <c r="AU17" s="90"/>
      <c r="AV17" s="90"/>
      <c r="AW17" s="97"/>
      <c r="AX17" s="97"/>
      <c r="AY17" s="90"/>
      <c r="AZ17" s="90"/>
      <c r="BA17" s="97"/>
      <c r="BB17" s="97"/>
      <c r="BC17" s="90"/>
      <c r="BD17" s="90"/>
      <c r="BE17" s="97"/>
      <c r="BF17" s="97"/>
      <c r="BG17" s="90"/>
      <c r="BH17" s="90"/>
      <c r="BI17" s="97"/>
      <c r="BJ17" s="97"/>
      <c r="BK17" s="90"/>
      <c r="BL17" s="90"/>
      <c r="BM17" s="97"/>
      <c r="BN17" s="97"/>
      <c r="BO17" s="90"/>
      <c r="BP17" s="90"/>
      <c r="BQ17" s="97"/>
      <c r="BR17" s="97"/>
      <c r="BS17" s="90"/>
      <c r="BT17" s="90"/>
      <c r="BU17" s="97"/>
      <c r="BV17" s="97"/>
      <c r="BW17" s="90"/>
      <c r="BX17" s="90"/>
      <c r="BY17" s="97"/>
      <c r="BZ17" s="97"/>
      <c r="CA17" s="90"/>
      <c r="CB17" s="90"/>
      <c r="CC17" s="97"/>
      <c r="CD17" s="97"/>
      <c r="CE17" s="90"/>
      <c r="CF17" s="90"/>
      <c r="CG17" s="97"/>
      <c r="CH17" s="97"/>
      <c r="CI17" s="90"/>
      <c r="CJ17" s="90"/>
      <c r="CK17" s="97"/>
      <c r="CL17" s="97"/>
      <c r="CM17" s="90"/>
      <c r="CN17" s="90"/>
      <c r="CO17" s="97"/>
      <c r="CP17" s="97"/>
      <c r="CQ17" s="90"/>
      <c r="CR17" s="90"/>
      <c r="CS17" s="97"/>
      <c r="CT17" s="97"/>
      <c r="CU17" s="90"/>
      <c r="CV17" s="90"/>
      <c r="CW17" s="97"/>
      <c r="CX17" s="97"/>
      <c r="CY17" s="90"/>
      <c r="CZ17" s="90"/>
      <c r="DA17" s="97"/>
      <c r="DB17" s="97"/>
      <c r="DC17" s="67"/>
    </row>
    <row r="18" spans="1:107" ht="14.25" customHeight="1" x14ac:dyDescent="0.2">
      <c r="A18" s="96"/>
      <c r="B18" s="96"/>
      <c r="C18" s="90"/>
      <c r="D18" s="90"/>
      <c r="E18" s="97"/>
      <c r="F18" s="97"/>
      <c r="G18" s="90"/>
      <c r="H18" s="90"/>
      <c r="I18" s="97"/>
      <c r="J18" s="97"/>
      <c r="K18" s="90"/>
      <c r="L18" s="90"/>
      <c r="M18" s="97"/>
      <c r="N18" s="97"/>
      <c r="O18" s="90"/>
      <c r="P18" s="90"/>
      <c r="Q18" s="97"/>
      <c r="R18" s="97"/>
      <c r="S18" s="90"/>
      <c r="T18" s="90"/>
      <c r="U18" s="97"/>
      <c r="V18" s="97"/>
      <c r="W18" s="90"/>
      <c r="X18" s="90"/>
      <c r="Y18" s="97"/>
      <c r="Z18" s="97"/>
      <c r="AA18" s="90"/>
      <c r="AB18" s="90"/>
      <c r="AC18" s="97"/>
      <c r="AD18" s="97"/>
      <c r="AE18" s="90"/>
      <c r="AF18" s="90"/>
      <c r="AG18" s="97"/>
      <c r="AH18" s="97"/>
      <c r="AI18" s="90"/>
      <c r="AJ18" s="90"/>
      <c r="AK18" s="97"/>
      <c r="AL18" s="97"/>
      <c r="AM18" s="90"/>
      <c r="AN18" s="90"/>
      <c r="AO18" s="97"/>
      <c r="AP18" s="97"/>
      <c r="AQ18" s="90"/>
      <c r="AR18" s="90"/>
      <c r="AS18" s="97"/>
      <c r="AT18" s="97"/>
      <c r="AU18" s="90"/>
      <c r="AV18" s="90"/>
      <c r="AW18" s="97"/>
      <c r="AX18" s="97"/>
      <c r="AY18" s="90"/>
      <c r="AZ18" s="90"/>
      <c r="BA18" s="97"/>
      <c r="BB18" s="97"/>
      <c r="BC18" s="90"/>
      <c r="BD18" s="90"/>
      <c r="BE18" s="97"/>
      <c r="BF18" s="97"/>
      <c r="BG18" s="90"/>
      <c r="BH18" s="90"/>
      <c r="BI18" s="97"/>
      <c r="BJ18" s="97"/>
      <c r="BK18" s="90"/>
      <c r="BL18" s="90"/>
      <c r="BM18" s="97"/>
      <c r="BN18" s="97"/>
      <c r="BO18" s="90"/>
      <c r="BP18" s="90"/>
      <c r="BQ18" s="97"/>
      <c r="BR18" s="97"/>
      <c r="BS18" s="90"/>
      <c r="BT18" s="90"/>
      <c r="BU18" s="97"/>
      <c r="BV18" s="97"/>
      <c r="BW18" s="90"/>
      <c r="BX18" s="90"/>
      <c r="BY18" s="97"/>
      <c r="BZ18" s="97"/>
      <c r="CA18" s="90"/>
      <c r="CB18" s="90"/>
      <c r="CC18" s="97"/>
      <c r="CD18" s="97"/>
      <c r="CE18" s="90"/>
      <c r="CF18" s="90"/>
      <c r="CG18" s="97"/>
      <c r="CH18" s="97"/>
      <c r="CI18" s="90"/>
      <c r="CJ18" s="90"/>
      <c r="CK18" s="97"/>
      <c r="CL18" s="97"/>
      <c r="CM18" s="90"/>
      <c r="CN18" s="90"/>
      <c r="CO18" s="97"/>
      <c r="CP18" s="97"/>
      <c r="CQ18" s="90"/>
      <c r="CR18" s="90"/>
      <c r="CS18" s="97"/>
      <c r="CT18" s="97"/>
      <c r="CU18" s="90"/>
      <c r="CV18" s="90"/>
      <c r="CW18" s="97"/>
      <c r="CX18" s="97"/>
      <c r="CY18" s="90"/>
      <c r="CZ18" s="90"/>
      <c r="DA18" s="97"/>
      <c r="DB18" s="97"/>
      <c r="DC18" s="67"/>
    </row>
    <row r="19" spans="1:107" ht="14.25" customHeight="1" x14ac:dyDescent="0.2">
      <c r="A19" s="96"/>
      <c r="B19" s="96"/>
      <c r="C19" s="90"/>
      <c r="D19" s="90"/>
      <c r="E19" s="97"/>
      <c r="F19" s="97"/>
      <c r="G19" s="90"/>
      <c r="H19" s="90"/>
      <c r="I19" s="97"/>
      <c r="J19" s="97"/>
      <c r="K19" s="90"/>
      <c r="L19" s="90"/>
      <c r="M19" s="97"/>
      <c r="N19" s="97"/>
      <c r="O19" s="90"/>
      <c r="P19" s="90"/>
      <c r="Q19" s="97"/>
      <c r="R19" s="97"/>
      <c r="S19" s="90"/>
      <c r="T19" s="90"/>
      <c r="U19" s="97"/>
      <c r="V19" s="97"/>
      <c r="W19" s="90"/>
      <c r="X19" s="90"/>
      <c r="Y19" s="97"/>
      <c r="Z19" s="97"/>
      <c r="AA19" s="90"/>
      <c r="AB19" s="90"/>
      <c r="AC19" s="97"/>
      <c r="AD19" s="97"/>
      <c r="AE19" s="90"/>
      <c r="AF19" s="90"/>
      <c r="AG19" s="97"/>
      <c r="AH19" s="97"/>
      <c r="AI19" s="90"/>
      <c r="AJ19" s="90"/>
      <c r="AK19" s="97"/>
      <c r="AL19" s="97"/>
      <c r="AM19" s="90"/>
      <c r="AN19" s="90"/>
      <c r="AO19" s="97"/>
      <c r="AP19" s="97"/>
      <c r="AQ19" s="90"/>
      <c r="AR19" s="90"/>
      <c r="AS19" s="97"/>
      <c r="AT19" s="97"/>
      <c r="AU19" s="90"/>
      <c r="AV19" s="90"/>
      <c r="AW19" s="97"/>
      <c r="AX19" s="97"/>
      <c r="AY19" s="90"/>
      <c r="AZ19" s="90"/>
      <c r="BA19" s="97"/>
      <c r="BB19" s="97"/>
      <c r="BC19" s="90"/>
      <c r="BD19" s="90"/>
      <c r="BE19" s="97"/>
      <c r="BF19" s="97"/>
      <c r="BG19" s="90"/>
      <c r="BH19" s="90"/>
      <c r="BI19" s="97"/>
      <c r="BJ19" s="97"/>
      <c r="BK19" s="90"/>
      <c r="BL19" s="90"/>
      <c r="BM19" s="97"/>
      <c r="BN19" s="97"/>
      <c r="BO19" s="90"/>
      <c r="BP19" s="90"/>
      <c r="BQ19" s="97"/>
      <c r="BR19" s="97"/>
      <c r="BS19" s="90"/>
      <c r="BT19" s="90"/>
      <c r="BU19" s="97"/>
      <c r="BV19" s="97"/>
      <c r="BW19" s="90"/>
      <c r="BX19" s="90"/>
      <c r="BY19" s="97"/>
      <c r="BZ19" s="97"/>
      <c r="CA19" s="90"/>
      <c r="CB19" s="90"/>
      <c r="CC19" s="97"/>
      <c r="CD19" s="97"/>
      <c r="CE19" s="90"/>
      <c r="CF19" s="90"/>
      <c r="CG19" s="97"/>
      <c r="CH19" s="97"/>
      <c r="CI19" s="90"/>
      <c r="CJ19" s="90"/>
      <c r="CK19" s="97"/>
      <c r="CL19" s="97"/>
      <c r="CM19" s="90"/>
      <c r="CN19" s="90"/>
      <c r="CO19" s="97"/>
      <c r="CP19" s="97"/>
      <c r="CQ19" s="90"/>
      <c r="CR19" s="90"/>
      <c r="CS19" s="97"/>
      <c r="CT19" s="97"/>
      <c r="CU19" s="90"/>
      <c r="CV19" s="90"/>
      <c r="CW19" s="97"/>
      <c r="CX19" s="97"/>
      <c r="CY19" s="90"/>
      <c r="CZ19" s="90"/>
      <c r="DA19" s="97"/>
      <c r="DB19" s="97"/>
      <c r="DC19" s="67"/>
    </row>
    <row r="20" spans="1:107" ht="14.25" customHeight="1" x14ac:dyDescent="0.2">
      <c r="A20" s="96"/>
      <c r="B20" s="96"/>
      <c r="C20" s="90"/>
      <c r="D20" s="90"/>
      <c r="E20" s="97"/>
      <c r="F20" s="97"/>
      <c r="G20" s="90"/>
      <c r="H20" s="90"/>
      <c r="I20" s="97"/>
      <c r="J20" s="97"/>
      <c r="K20" s="90"/>
      <c r="L20" s="90"/>
      <c r="M20" s="97"/>
      <c r="N20" s="97"/>
      <c r="O20" s="90"/>
      <c r="P20" s="90"/>
      <c r="Q20" s="97"/>
      <c r="R20" s="97"/>
      <c r="S20" s="90"/>
      <c r="T20" s="90"/>
      <c r="U20" s="97"/>
      <c r="V20" s="97"/>
      <c r="W20" s="90"/>
      <c r="X20" s="90"/>
      <c r="Y20" s="97"/>
      <c r="Z20" s="97"/>
      <c r="AA20" s="90"/>
      <c r="AB20" s="90"/>
      <c r="AC20" s="97"/>
      <c r="AD20" s="97"/>
      <c r="AE20" s="90"/>
      <c r="AF20" s="90"/>
      <c r="AG20" s="97"/>
      <c r="AH20" s="97"/>
      <c r="AI20" s="90"/>
      <c r="AJ20" s="90"/>
      <c r="AK20" s="97"/>
      <c r="AL20" s="97"/>
      <c r="AM20" s="90"/>
      <c r="AN20" s="90"/>
      <c r="AO20" s="97"/>
      <c r="AP20" s="97"/>
      <c r="AQ20" s="90"/>
      <c r="AR20" s="90"/>
      <c r="AS20" s="97"/>
      <c r="AT20" s="97"/>
      <c r="AU20" s="90"/>
      <c r="AV20" s="90"/>
      <c r="AW20" s="97"/>
      <c r="AX20" s="97"/>
      <c r="AY20" s="90"/>
      <c r="AZ20" s="90"/>
      <c r="BA20" s="97"/>
      <c r="BB20" s="97"/>
      <c r="BC20" s="90"/>
      <c r="BD20" s="90"/>
      <c r="BE20" s="97"/>
      <c r="BF20" s="97"/>
      <c r="BG20" s="90"/>
      <c r="BH20" s="90"/>
      <c r="BI20" s="97"/>
      <c r="BJ20" s="97"/>
      <c r="BK20" s="90"/>
      <c r="BL20" s="90"/>
      <c r="BM20" s="97"/>
      <c r="BN20" s="97"/>
      <c r="BO20" s="90"/>
      <c r="BP20" s="90"/>
      <c r="BQ20" s="97"/>
      <c r="BR20" s="97"/>
      <c r="BS20" s="90"/>
      <c r="BT20" s="90"/>
      <c r="BU20" s="97"/>
      <c r="BV20" s="97"/>
      <c r="BW20" s="90"/>
      <c r="BX20" s="90"/>
      <c r="BY20" s="97"/>
      <c r="BZ20" s="97"/>
      <c r="CA20" s="90"/>
      <c r="CB20" s="90"/>
      <c r="CC20" s="97"/>
      <c r="CD20" s="97"/>
      <c r="CE20" s="90"/>
      <c r="CF20" s="90"/>
      <c r="CG20" s="97"/>
      <c r="CH20" s="97"/>
      <c r="CI20" s="90"/>
      <c r="CJ20" s="90"/>
      <c r="CK20" s="97"/>
      <c r="CL20" s="97"/>
      <c r="CM20" s="90"/>
      <c r="CN20" s="90"/>
      <c r="CO20" s="97"/>
      <c r="CP20" s="97"/>
      <c r="CQ20" s="90"/>
      <c r="CR20" s="90"/>
      <c r="CS20" s="97"/>
      <c r="CT20" s="97"/>
      <c r="CU20" s="90"/>
      <c r="CV20" s="90"/>
      <c r="CW20" s="97"/>
      <c r="CX20" s="97"/>
      <c r="CY20" s="90"/>
      <c r="CZ20" s="90"/>
      <c r="DA20" s="97"/>
      <c r="DB20" s="97"/>
      <c r="DC20" s="67"/>
    </row>
    <row r="21" spans="1:107" ht="14.25" customHeight="1" x14ac:dyDescent="0.2">
      <c r="A21" s="96"/>
      <c r="B21" s="96"/>
      <c r="C21" s="90"/>
      <c r="D21" s="90"/>
      <c r="E21" s="120"/>
      <c r="F21" s="120"/>
      <c r="G21" s="90"/>
      <c r="H21" s="90"/>
      <c r="I21" s="97"/>
      <c r="J21" s="97"/>
      <c r="K21" s="90"/>
      <c r="L21" s="90"/>
      <c r="M21" s="97"/>
      <c r="N21" s="97"/>
      <c r="O21" s="90"/>
      <c r="P21" s="90"/>
      <c r="Q21" s="97"/>
      <c r="R21" s="97"/>
      <c r="S21" s="90"/>
      <c r="T21" s="90"/>
      <c r="U21" s="97"/>
      <c r="V21" s="97"/>
      <c r="W21" s="90"/>
      <c r="X21" s="90"/>
      <c r="Y21" s="97"/>
      <c r="Z21" s="97"/>
      <c r="AA21" s="90"/>
      <c r="AB21" s="90"/>
      <c r="AC21" s="97"/>
      <c r="AD21" s="97"/>
      <c r="AE21" s="90"/>
      <c r="AF21" s="90"/>
      <c r="AG21" s="97"/>
      <c r="AH21" s="97"/>
      <c r="AI21" s="90"/>
      <c r="AJ21" s="90"/>
      <c r="AK21" s="97"/>
      <c r="AL21" s="97"/>
      <c r="AM21" s="90"/>
      <c r="AN21" s="90"/>
      <c r="AO21" s="97"/>
      <c r="AP21" s="97"/>
      <c r="AQ21" s="90"/>
      <c r="AR21" s="90"/>
      <c r="AS21" s="97"/>
      <c r="AT21" s="97"/>
      <c r="AU21" s="90"/>
      <c r="AV21" s="90"/>
      <c r="AW21" s="97"/>
      <c r="AX21" s="97"/>
      <c r="AY21" s="90"/>
      <c r="AZ21" s="90"/>
      <c r="BA21" s="97"/>
      <c r="BB21" s="97"/>
      <c r="BC21" s="90"/>
      <c r="BD21" s="90"/>
      <c r="BE21" s="97"/>
      <c r="BF21" s="97"/>
      <c r="BG21" s="90"/>
      <c r="BH21" s="90"/>
      <c r="BI21" s="97"/>
      <c r="BJ21" s="97"/>
      <c r="BK21" s="90"/>
      <c r="BL21" s="90"/>
      <c r="BM21" s="97"/>
      <c r="BN21" s="97"/>
      <c r="BO21" s="90"/>
      <c r="BP21" s="90"/>
      <c r="BQ21" s="97"/>
      <c r="BR21" s="97"/>
      <c r="BS21" s="90"/>
      <c r="BT21" s="90"/>
      <c r="BU21" s="97"/>
      <c r="BV21" s="97"/>
      <c r="BW21" s="90"/>
      <c r="BX21" s="90"/>
      <c r="BY21" s="97"/>
      <c r="BZ21" s="97"/>
      <c r="CA21" s="90"/>
      <c r="CB21" s="90"/>
      <c r="CC21" s="97"/>
      <c r="CD21" s="97"/>
      <c r="CE21" s="90"/>
      <c r="CF21" s="90"/>
      <c r="CG21" s="97"/>
      <c r="CH21" s="97"/>
      <c r="CI21" s="90"/>
      <c r="CJ21" s="90"/>
      <c r="CK21" s="97"/>
      <c r="CL21" s="97"/>
      <c r="CM21" s="90"/>
      <c r="CN21" s="90"/>
      <c r="CO21" s="97"/>
      <c r="CP21" s="97"/>
      <c r="CQ21" s="90"/>
      <c r="CR21" s="90"/>
      <c r="CS21" s="97"/>
      <c r="CT21" s="97"/>
      <c r="CU21" s="90"/>
      <c r="CV21" s="90"/>
      <c r="CW21" s="97"/>
      <c r="CX21" s="97"/>
      <c r="CY21" s="90"/>
      <c r="CZ21" s="90"/>
      <c r="DA21" s="97"/>
      <c r="DB21" s="97"/>
      <c r="DC21" s="67"/>
    </row>
    <row r="22" spans="1:107" ht="14.25" customHeight="1" x14ac:dyDescent="0.2">
      <c r="A22" s="96"/>
      <c r="B22" s="96"/>
      <c r="C22" s="90"/>
      <c r="D22" s="90"/>
      <c r="E22" s="97"/>
      <c r="F22" s="97"/>
      <c r="G22" s="90"/>
      <c r="H22" s="90"/>
      <c r="I22" s="97"/>
      <c r="J22" s="97"/>
      <c r="K22" s="90"/>
      <c r="L22" s="90"/>
      <c r="M22" s="97"/>
      <c r="N22" s="97"/>
      <c r="O22" s="90"/>
      <c r="P22" s="90"/>
      <c r="Q22" s="97"/>
      <c r="R22" s="97"/>
      <c r="S22" s="90"/>
      <c r="T22" s="90"/>
      <c r="U22" s="97"/>
      <c r="V22" s="97"/>
      <c r="W22" s="90"/>
      <c r="X22" s="90"/>
      <c r="Y22" s="97"/>
      <c r="Z22" s="97"/>
      <c r="AA22" s="90"/>
      <c r="AB22" s="90"/>
      <c r="AC22" s="97"/>
      <c r="AD22" s="97"/>
      <c r="AE22" s="90"/>
      <c r="AF22" s="90"/>
      <c r="AG22" s="97"/>
      <c r="AH22" s="97"/>
      <c r="AI22" s="90"/>
      <c r="AJ22" s="90"/>
      <c r="AK22" s="97"/>
      <c r="AL22" s="97"/>
      <c r="AM22" s="90"/>
      <c r="AN22" s="90"/>
      <c r="AO22" s="97"/>
      <c r="AP22" s="97"/>
      <c r="AQ22" s="90"/>
      <c r="AR22" s="90"/>
      <c r="AS22" s="97"/>
      <c r="AT22" s="97"/>
      <c r="AU22" s="90"/>
      <c r="AV22" s="90"/>
      <c r="AW22" s="97"/>
      <c r="AX22" s="97"/>
      <c r="AY22" s="90"/>
      <c r="AZ22" s="90"/>
      <c r="BA22" s="97"/>
      <c r="BB22" s="97"/>
      <c r="BC22" s="90"/>
      <c r="BD22" s="90"/>
      <c r="BE22" s="97"/>
      <c r="BF22" s="97"/>
      <c r="BG22" s="90"/>
      <c r="BH22" s="90"/>
      <c r="BI22" s="97"/>
      <c r="BJ22" s="97"/>
      <c r="BK22" s="90"/>
      <c r="BL22" s="90"/>
      <c r="BM22" s="97"/>
      <c r="BN22" s="97"/>
      <c r="BO22" s="90"/>
      <c r="BP22" s="90"/>
      <c r="BQ22" s="97"/>
      <c r="BR22" s="97"/>
      <c r="BS22" s="90"/>
      <c r="BT22" s="90"/>
      <c r="BU22" s="97"/>
      <c r="BV22" s="97"/>
      <c r="BW22" s="90"/>
      <c r="BX22" s="90"/>
      <c r="BY22" s="97"/>
      <c r="BZ22" s="97"/>
      <c r="CA22" s="90"/>
      <c r="CB22" s="90"/>
      <c r="CC22" s="97"/>
      <c r="CD22" s="97"/>
      <c r="CE22" s="90"/>
      <c r="CF22" s="90"/>
      <c r="CG22" s="97"/>
      <c r="CH22" s="97"/>
      <c r="CI22" s="90"/>
      <c r="CJ22" s="90"/>
      <c r="CK22" s="97"/>
      <c r="CL22" s="97"/>
      <c r="CM22" s="90"/>
      <c r="CN22" s="90"/>
      <c r="CO22" s="97"/>
      <c r="CP22" s="97"/>
      <c r="CQ22" s="90"/>
      <c r="CR22" s="90"/>
      <c r="CS22" s="97"/>
      <c r="CT22" s="97"/>
      <c r="CU22" s="90"/>
      <c r="CV22" s="90"/>
      <c r="CW22" s="97"/>
      <c r="CX22" s="97"/>
      <c r="CY22" s="90"/>
      <c r="CZ22" s="90"/>
      <c r="DA22" s="97"/>
      <c r="DB22" s="97"/>
      <c r="DC22" s="67"/>
    </row>
    <row r="23" spans="1:107" ht="14.25" customHeight="1" x14ac:dyDescent="0.2">
      <c r="A23" s="96"/>
      <c r="B23" s="96"/>
      <c r="C23" s="90"/>
      <c r="D23" s="90"/>
      <c r="E23" s="97"/>
      <c r="F23" s="97"/>
      <c r="G23" s="90"/>
      <c r="H23" s="90"/>
      <c r="I23" s="97"/>
      <c r="J23" s="97"/>
      <c r="K23" s="90"/>
      <c r="L23" s="90"/>
      <c r="M23" s="97"/>
      <c r="N23" s="97"/>
      <c r="O23" s="90"/>
      <c r="P23" s="90"/>
      <c r="Q23" s="97"/>
      <c r="R23" s="97"/>
      <c r="S23" s="90"/>
      <c r="T23" s="90"/>
      <c r="U23" s="97"/>
      <c r="V23" s="97"/>
      <c r="W23" s="90"/>
      <c r="X23" s="90"/>
      <c r="Y23" s="97"/>
      <c r="Z23" s="97"/>
      <c r="AA23" s="90"/>
      <c r="AB23" s="90"/>
      <c r="AC23" s="97"/>
      <c r="AD23" s="97"/>
      <c r="AE23" s="90"/>
      <c r="AF23" s="90"/>
      <c r="AG23" s="97"/>
      <c r="AH23" s="97"/>
      <c r="AI23" s="90"/>
      <c r="AJ23" s="90"/>
      <c r="AK23" s="97"/>
      <c r="AL23" s="97"/>
      <c r="AM23" s="90"/>
      <c r="AN23" s="90"/>
      <c r="AO23" s="97"/>
      <c r="AP23" s="97"/>
      <c r="AQ23" s="90"/>
      <c r="AR23" s="90"/>
      <c r="AS23" s="97"/>
      <c r="AT23" s="97"/>
      <c r="AU23" s="90"/>
      <c r="AV23" s="90"/>
      <c r="AW23" s="97"/>
      <c r="AX23" s="97"/>
      <c r="AY23" s="90"/>
      <c r="AZ23" s="90"/>
      <c r="BA23" s="97"/>
      <c r="BB23" s="97"/>
      <c r="BC23" s="90"/>
      <c r="BD23" s="90"/>
      <c r="BE23" s="97"/>
      <c r="BF23" s="97"/>
      <c r="BG23" s="90"/>
      <c r="BH23" s="90"/>
      <c r="BI23" s="97"/>
      <c r="BJ23" s="97"/>
      <c r="BK23" s="90"/>
      <c r="BL23" s="90"/>
      <c r="BM23" s="97"/>
      <c r="BN23" s="97"/>
      <c r="BO23" s="90"/>
      <c r="BP23" s="90"/>
      <c r="BQ23" s="97"/>
      <c r="BR23" s="97"/>
      <c r="BS23" s="90"/>
      <c r="BT23" s="90"/>
      <c r="BU23" s="97"/>
      <c r="BV23" s="97"/>
      <c r="BW23" s="90"/>
      <c r="BX23" s="90"/>
      <c r="BY23" s="97"/>
      <c r="BZ23" s="97"/>
      <c r="CA23" s="90"/>
      <c r="CB23" s="90"/>
      <c r="CC23" s="97"/>
      <c r="CD23" s="97"/>
      <c r="CE23" s="90"/>
      <c r="CF23" s="90"/>
      <c r="CG23" s="97"/>
      <c r="CH23" s="97"/>
      <c r="CI23" s="90"/>
      <c r="CJ23" s="90"/>
      <c r="CK23" s="97"/>
      <c r="CL23" s="97"/>
      <c r="CM23" s="90"/>
      <c r="CN23" s="90"/>
      <c r="CO23" s="97"/>
      <c r="CP23" s="97"/>
      <c r="CQ23" s="90"/>
      <c r="CR23" s="90"/>
      <c r="CS23" s="97"/>
      <c r="CT23" s="97"/>
      <c r="CU23" s="90"/>
      <c r="CV23" s="90"/>
      <c r="CW23" s="97"/>
      <c r="CX23" s="97"/>
      <c r="CY23" s="90"/>
      <c r="CZ23" s="90"/>
      <c r="DA23" s="97"/>
      <c r="DB23" s="97"/>
      <c r="DC23" s="6"/>
    </row>
    <row r="24" spans="1:107" ht="14.25" customHeight="1" x14ac:dyDescent="0.2">
      <c r="A24" s="96"/>
      <c r="B24" s="96"/>
      <c r="C24" s="91"/>
      <c r="D24" s="91"/>
      <c r="E24" s="97"/>
      <c r="F24" s="97"/>
      <c r="G24" s="91"/>
      <c r="H24" s="91"/>
      <c r="I24" s="97"/>
      <c r="J24" s="97"/>
      <c r="K24" s="91"/>
      <c r="L24" s="91"/>
      <c r="M24" s="97"/>
      <c r="N24" s="97"/>
      <c r="O24" s="91"/>
      <c r="P24" s="91"/>
      <c r="Q24" s="97"/>
      <c r="R24" s="97"/>
      <c r="S24" s="90"/>
      <c r="T24" s="90"/>
      <c r="U24" s="97"/>
      <c r="V24" s="97"/>
      <c r="W24" s="90"/>
      <c r="X24" s="90"/>
      <c r="Y24" s="97"/>
      <c r="Z24" s="97"/>
      <c r="AA24" s="91"/>
      <c r="AB24" s="91"/>
      <c r="AC24" s="97"/>
      <c r="AD24" s="97"/>
      <c r="AE24" s="91"/>
      <c r="AF24" s="91"/>
      <c r="AG24" s="97"/>
      <c r="AH24" s="97"/>
      <c r="AI24" s="91"/>
      <c r="AJ24" s="91"/>
      <c r="AK24" s="97"/>
      <c r="AL24" s="97"/>
      <c r="AM24" s="91"/>
      <c r="AN24" s="91"/>
      <c r="AO24" s="97"/>
      <c r="AP24" s="97"/>
      <c r="AQ24" s="91"/>
      <c r="AR24" s="91"/>
      <c r="AS24" s="97"/>
      <c r="AT24" s="97"/>
      <c r="AU24" s="90"/>
      <c r="AV24" s="90"/>
      <c r="AW24" s="97"/>
      <c r="AX24" s="97"/>
      <c r="AY24" s="91"/>
      <c r="AZ24" s="91"/>
      <c r="BA24" s="97"/>
      <c r="BB24" s="97"/>
      <c r="BC24" s="91"/>
      <c r="BD24" s="91"/>
      <c r="BE24" s="97"/>
      <c r="BF24" s="97"/>
      <c r="BG24" s="91"/>
      <c r="BH24" s="91"/>
      <c r="BI24" s="97"/>
      <c r="BJ24" s="97"/>
      <c r="BK24" s="91"/>
      <c r="BL24" s="91"/>
      <c r="BM24" s="97"/>
      <c r="BN24" s="97"/>
      <c r="BO24" s="91"/>
      <c r="BP24" s="91"/>
      <c r="BQ24" s="97"/>
      <c r="BR24" s="97"/>
      <c r="BS24" s="91"/>
      <c r="BT24" s="91"/>
      <c r="BU24" s="97"/>
      <c r="BV24" s="97"/>
      <c r="BW24" s="91"/>
      <c r="BX24" s="91"/>
      <c r="BY24" s="97"/>
      <c r="BZ24" s="97"/>
      <c r="CA24" s="91"/>
      <c r="CB24" s="91"/>
      <c r="CC24" s="97"/>
      <c r="CD24" s="97"/>
      <c r="CE24" s="90"/>
      <c r="CF24" s="90"/>
      <c r="CG24" s="97"/>
      <c r="CH24" s="97"/>
      <c r="CI24" s="91"/>
      <c r="CJ24" s="91"/>
      <c r="CK24" s="97"/>
      <c r="CL24" s="97"/>
      <c r="CM24" s="91"/>
      <c r="CN24" s="91"/>
      <c r="CO24" s="97"/>
      <c r="CP24" s="97"/>
      <c r="CQ24" s="90"/>
      <c r="CR24" s="90"/>
      <c r="CS24" s="97"/>
      <c r="CT24" s="97"/>
      <c r="CU24" s="90"/>
      <c r="CV24" s="90"/>
      <c r="CW24" s="97"/>
      <c r="CX24" s="97"/>
      <c r="CY24" s="90"/>
      <c r="CZ24" s="90"/>
      <c r="DA24" s="97"/>
      <c r="DB24" s="97"/>
      <c r="DC24" s="6"/>
    </row>
    <row r="25" spans="1:107" ht="15.75" customHeight="1" x14ac:dyDescent="0.2">
      <c r="A25" s="70"/>
      <c r="B25" s="71"/>
      <c r="C25" s="42"/>
      <c r="D25" s="42"/>
      <c r="E25" s="42"/>
      <c r="F25" s="42"/>
      <c r="G25" s="42"/>
      <c r="H25" s="42"/>
      <c r="I25" s="42"/>
      <c r="J25" s="42"/>
      <c r="K25" s="72"/>
      <c r="L25" s="72"/>
      <c r="M25" s="72"/>
      <c r="N25" s="72"/>
      <c r="O25" s="72"/>
      <c r="P25" s="72"/>
      <c r="Q25" s="72"/>
      <c r="R25" s="72"/>
      <c r="S25" s="73"/>
      <c r="T25" s="73"/>
      <c r="U25" s="73"/>
      <c r="V25" s="73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73"/>
      <c r="AV25" s="73"/>
      <c r="AW25" s="73"/>
      <c r="AX25" s="73"/>
      <c r="AY25" s="42"/>
      <c r="AZ25" s="42"/>
      <c r="BA25" s="42"/>
      <c r="BB25" s="42"/>
      <c r="BC25" s="72"/>
      <c r="BD25" s="72"/>
      <c r="BE25" s="72"/>
      <c r="BF25" s="72"/>
      <c r="BG25" s="42"/>
      <c r="BH25" s="42"/>
      <c r="BI25" s="42"/>
      <c r="BJ25" s="42"/>
      <c r="BK25" s="72"/>
      <c r="BL25" s="72"/>
      <c r="BM25" s="72"/>
      <c r="BN25" s="72"/>
      <c r="BO25" s="42"/>
      <c r="BP25" s="42"/>
      <c r="BQ25" s="42"/>
      <c r="BR25" s="42"/>
      <c r="BS25" s="73"/>
      <c r="BT25" s="73"/>
      <c r="BU25" s="73"/>
      <c r="BV25" s="73"/>
      <c r="BW25" s="42"/>
      <c r="BX25" s="42"/>
      <c r="BY25" s="42"/>
      <c r="BZ25" s="42"/>
      <c r="CA25" s="72"/>
      <c r="CB25" s="72"/>
      <c r="CC25" s="72"/>
      <c r="CD25" s="72"/>
      <c r="CE25" s="42"/>
      <c r="CF25" s="42"/>
      <c r="CG25" s="42"/>
      <c r="CH25" s="42"/>
      <c r="CI25" s="72"/>
      <c r="CJ25" s="72"/>
      <c r="CK25" s="72"/>
      <c r="CL25" s="72"/>
      <c r="CM25" s="72"/>
      <c r="CN25" s="72"/>
      <c r="CO25" s="72"/>
      <c r="CP25" s="72"/>
      <c r="CQ25" s="73"/>
      <c r="CR25" s="73"/>
      <c r="CS25" s="73"/>
      <c r="CT25" s="73"/>
      <c r="CU25" s="42"/>
      <c r="CV25" s="42"/>
      <c r="CW25" s="42"/>
      <c r="CX25" s="42"/>
      <c r="CY25" s="72"/>
      <c r="CZ25" s="72"/>
      <c r="DA25" s="6"/>
      <c r="DB25" s="6"/>
      <c r="DC25" s="6"/>
    </row>
    <row r="26" spans="1:107" ht="14.25" customHeight="1" x14ac:dyDescent="0.2">
      <c r="A26" s="151" t="s">
        <v>70</v>
      </c>
      <c r="B26" s="132"/>
      <c r="C26" s="175">
        <f>COUNT(C9:C24)</f>
        <v>0</v>
      </c>
      <c r="D26" s="131"/>
      <c r="E26" s="131"/>
      <c r="F26" s="132"/>
      <c r="G26" s="175">
        <f>COUNT(G9:G24)</f>
        <v>0</v>
      </c>
      <c r="H26" s="131"/>
      <c r="I26" s="131"/>
      <c r="J26" s="132"/>
      <c r="K26" s="175">
        <f>COUNT(K9:K24)</f>
        <v>0</v>
      </c>
      <c r="L26" s="131"/>
      <c r="M26" s="131"/>
      <c r="N26" s="132"/>
      <c r="O26" s="175">
        <f>COUNT(O9:O24)</f>
        <v>0</v>
      </c>
      <c r="P26" s="131"/>
      <c r="Q26" s="131"/>
      <c r="R26" s="132"/>
      <c r="S26" s="175">
        <f>COUNT(S9:S24)</f>
        <v>0</v>
      </c>
      <c r="T26" s="131"/>
      <c r="U26" s="131"/>
      <c r="V26" s="132"/>
      <c r="W26" s="175">
        <f>COUNT(W9:W24)</f>
        <v>0</v>
      </c>
      <c r="X26" s="131"/>
      <c r="Y26" s="131"/>
      <c r="Z26" s="132"/>
      <c r="AA26" s="175">
        <f>COUNT(AA9:AA24)</f>
        <v>0</v>
      </c>
      <c r="AB26" s="131"/>
      <c r="AC26" s="131"/>
      <c r="AD26" s="132"/>
      <c r="AE26" s="175">
        <f>COUNT(AE9:AE24)</f>
        <v>0</v>
      </c>
      <c r="AF26" s="131"/>
      <c r="AG26" s="131"/>
      <c r="AH26" s="132"/>
      <c r="AI26" s="175">
        <f>COUNT(AI9:AI24)</f>
        <v>0</v>
      </c>
      <c r="AJ26" s="131"/>
      <c r="AK26" s="131"/>
      <c r="AL26" s="132"/>
      <c r="AM26" s="175">
        <f>COUNT(AM9:AM24)</f>
        <v>0</v>
      </c>
      <c r="AN26" s="131"/>
      <c r="AO26" s="131"/>
      <c r="AP26" s="132"/>
      <c r="AQ26" s="175">
        <f>COUNT(AQ9:AQ24)</f>
        <v>0</v>
      </c>
      <c r="AR26" s="131"/>
      <c r="AS26" s="131"/>
      <c r="AT26" s="132"/>
      <c r="AU26" s="175">
        <f>COUNT(AU9:AU24)</f>
        <v>0</v>
      </c>
      <c r="AV26" s="131"/>
      <c r="AW26" s="131"/>
      <c r="AX26" s="132"/>
      <c r="AY26" s="175">
        <f>COUNT(AY9:AY24)</f>
        <v>0</v>
      </c>
      <c r="AZ26" s="131"/>
      <c r="BA26" s="131"/>
      <c r="BB26" s="132"/>
      <c r="BC26" s="175">
        <f>COUNT(BC9:BC24)</f>
        <v>0</v>
      </c>
      <c r="BD26" s="131"/>
      <c r="BE26" s="131"/>
      <c r="BF26" s="132"/>
      <c r="BG26" s="175">
        <f>COUNT(BG9:BG24)</f>
        <v>0</v>
      </c>
      <c r="BH26" s="131"/>
      <c r="BI26" s="131"/>
      <c r="BJ26" s="132"/>
      <c r="BK26" s="175">
        <f>COUNT(BK9:BK24)</f>
        <v>0</v>
      </c>
      <c r="BL26" s="131"/>
      <c r="BM26" s="131"/>
      <c r="BN26" s="132"/>
      <c r="BO26" s="175">
        <f>COUNT(BO9:BO24)</f>
        <v>0</v>
      </c>
      <c r="BP26" s="131"/>
      <c r="BQ26" s="131"/>
      <c r="BR26" s="132"/>
      <c r="BS26" s="175">
        <f>COUNT(BS9:BS24)</f>
        <v>0</v>
      </c>
      <c r="BT26" s="131"/>
      <c r="BU26" s="131"/>
      <c r="BV26" s="132"/>
      <c r="BW26" s="175">
        <f>COUNT(BW9:BW24)</f>
        <v>0</v>
      </c>
      <c r="BX26" s="131"/>
      <c r="BY26" s="131"/>
      <c r="BZ26" s="132"/>
      <c r="CA26" s="175">
        <f>COUNT(CA9:CA24)</f>
        <v>0</v>
      </c>
      <c r="CB26" s="131"/>
      <c r="CC26" s="131"/>
      <c r="CD26" s="132"/>
      <c r="CE26" s="175">
        <f>COUNT(CE9:CE24)</f>
        <v>0</v>
      </c>
      <c r="CF26" s="131"/>
      <c r="CG26" s="131"/>
      <c r="CH26" s="132"/>
      <c r="CI26" s="175">
        <f>COUNT(CI9:CI24)</f>
        <v>0</v>
      </c>
      <c r="CJ26" s="131"/>
      <c r="CK26" s="131"/>
      <c r="CL26" s="132"/>
      <c r="CM26" s="175">
        <f>COUNT(CM9:CM24)</f>
        <v>0</v>
      </c>
      <c r="CN26" s="131"/>
      <c r="CO26" s="131"/>
      <c r="CP26" s="132"/>
      <c r="CQ26" s="175">
        <f>COUNT(CQ9:CQ24)</f>
        <v>0</v>
      </c>
      <c r="CR26" s="131"/>
      <c r="CS26" s="131"/>
      <c r="CT26" s="132"/>
      <c r="CU26" s="175">
        <f>COUNT(CU9:CU24)</f>
        <v>0</v>
      </c>
      <c r="CV26" s="131"/>
      <c r="CW26" s="131"/>
      <c r="CX26" s="132"/>
      <c r="CY26" s="175">
        <f>COUNT(CY9:CY24)</f>
        <v>0</v>
      </c>
      <c r="CZ26" s="131"/>
      <c r="DA26" s="131"/>
      <c r="DB26" s="132"/>
      <c r="DC26" s="6"/>
    </row>
    <row r="27" spans="1:107" ht="15.75" customHeight="1" x14ac:dyDescent="0.2">
      <c r="A27" s="151" t="s">
        <v>30</v>
      </c>
      <c r="B27" s="132"/>
      <c r="C27" s="178">
        <f>COUNTIF(C9:C23,"Absent")</f>
        <v>0</v>
      </c>
      <c r="D27" s="131"/>
      <c r="E27" s="131"/>
      <c r="F27" s="132"/>
      <c r="G27" s="178">
        <f>COUNTIF(G9:G23,"Absent")</f>
        <v>0</v>
      </c>
      <c r="H27" s="131"/>
      <c r="I27" s="131"/>
      <c r="J27" s="132"/>
      <c r="K27" s="178">
        <f>COUNTIF(K9:K23,"Absent")</f>
        <v>0</v>
      </c>
      <c r="L27" s="131"/>
      <c r="M27" s="131"/>
      <c r="N27" s="132"/>
      <c r="O27" s="178">
        <f>COUNTIF(O9:O23,"Absent")</f>
        <v>0</v>
      </c>
      <c r="P27" s="131"/>
      <c r="Q27" s="131"/>
      <c r="R27" s="132"/>
      <c r="S27" s="178">
        <f>COUNTIF(S9:S23,"Absent")</f>
        <v>0</v>
      </c>
      <c r="T27" s="131"/>
      <c r="U27" s="131"/>
      <c r="V27" s="132"/>
      <c r="W27" s="178">
        <f>COUNTIF(W9:W23,"Absent")</f>
        <v>0</v>
      </c>
      <c r="X27" s="131"/>
      <c r="Y27" s="131"/>
      <c r="Z27" s="132"/>
      <c r="AA27" s="178">
        <f>COUNTIF(AA9:AA23,"Absent")</f>
        <v>0</v>
      </c>
      <c r="AB27" s="131"/>
      <c r="AC27" s="131"/>
      <c r="AD27" s="132"/>
      <c r="AE27" s="178">
        <f>COUNTIF(AE9:AE23,"Absent")</f>
        <v>0</v>
      </c>
      <c r="AF27" s="131"/>
      <c r="AG27" s="131"/>
      <c r="AH27" s="132"/>
      <c r="AI27" s="178">
        <f>COUNTIF(AI9:AI23,"Absent")</f>
        <v>0</v>
      </c>
      <c r="AJ27" s="131"/>
      <c r="AK27" s="131"/>
      <c r="AL27" s="132"/>
      <c r="AM27" s="178">
        <f>COUNTIF(AM9:AM23,"Absent")</f>
        <v>0</v>
      </c>
      <c r="AN27" s="131"/>
      <c r="AO27" s="131"/>
      <c r="AP27" s="132"/>
      <c r="AQ27" s="178">
        <f>COUNTIF(AQ9:AQ23,"Absent")</f>
        <v>0</v>
      </c>
      <c r="AR27" s="131"/>
      <c r="AS27" s="131"/>
      <c r="AT27" s="132"/>
      <c r="AU27" s="178">
        <f>COUNTIF(AU9:AU23,"Absent")</f>
        <v>0</v>
      </c>
      <c r="AV27" s="131"/>
      <c r="AW27" s="131"/>
      <c r="AX27" s="132"/>
      <c r="AY27" s="178">
        <f>COUNTIF(AY9:AY23,"Absent")</f>
        <v>0</v>
      </c>
      <c r="AZ27" s="131"/>
      <c r="BA27" s="131"/>
      <c r="BB27" s="132"/>
      <c r="BC27" s="178">
        <f>COUNTIF(BC9:BC23,"Absent")</f>
        <v>0</v>
      </c>
      <c r="BD27" s="131"/>
      <c r="BE27" s="131"/>
      <c r="BF27" s="132"/>
      <c r="BG27" s="178">
        <f>COUNTIF(BG9:BG23,"Absent")</f>
        <v>0</v>
      </c>
      <c r="BH27" s="131"/>
      <c r="BI27" s="131"/>
      <c r="BJ27" s="132"/>
      <c r="BK27" s="178">
        <f>COUNTIF(BK9:BK23,"Absent")</f>
        <v>0</v>
      </c>
      <c r="BL27" s="131"/>
      <c r="BM27" s="131"/>
      <c r="BN27" s="132"/>
      <c r="BO27" s="178">
        <f>COUNTIF(BO9:BO23,"Absent")</f>
        <v>0</v>
      </c>
      <c r="BP27" s="131"/>
      <c r="BQ27" s="131"/>
      <c r="BR27" s="132"/>
      <c r="BS27" s="178">
        <f>COUNTIF(BS9:BS23,"Absent")</f>
        <v>0</v>
      </c>
      <c r="BT27" s="131"/>
      <c r="BU27" s="131"/>
      <c r="BV27" s="132"/>
      <c r="BW27" s="178">
        <f>COUNTIF(BW9:BW23,"Absent")</f>
        <v>0</v>
      </c>
      <c r="BX27" s="131"/>
      <c r="BY27" s="131"/>
      <c r="BZ27" s="132"/>
      <c r="CA27" s="178">
        <f>COUNTIF(CA9:CA23,"Absent")</f>
        <v>0</v>
      </c>
      <c r="CB27" s="131"/>
      <c r="CC27" s="131"/>
      <c r="CD27" s="132"/>
      <c r="CE27" s="178">
        <f>COUNTIF(CE9:CE23,"Absent")</f>
        <v>0</v>
      </c>
      <c r="CF27" s="131"/>
      <c r="CG27" s="131"/>
      <c r="CH27" s="132"/>
      <c r="CI27" s="178">
        <f>COUNTIF(CI9:CI23,"Absent")</f>
        <v>0</v>
      </c>
      <c r="CJ27" s="131"/>
      <c r="CK27" s="131"/>
      <c r="CL27" s="132"/>
      <c r="CM27" s="178">
        <f>COUNTIF(CM9:CM23,"Absent")</f>
        <v>0</v>
      </c>
      <c r="CN27" s="131"/>
      <c r="CO27" s="131"/>
      <c r="CP27" s="132"/>
      <c r="CQ27" s="178">
        <f>COUNTIF(CQ9:CQ23,"Absent")</f>
        <v>0</v>
      </c>
      <c r="CR27" s="131"/>
      <c r="CS27" s="131"/>
      <c r="CT27" s="132"/>
      <c r="CU27" s="178">
        <f>COUNTIF(CU9:CU23,"Absent")</f>
        <v>0</v>
      </c>
      <c r="CV27" s="131"/>
      <c r="CW27" s="131"/>
      <c r="CX27" s="132"/>
      <c r="CY27" s="178">
        <f>COUNTIF(CY9:CY23,"Absent")</f>
        <v>0</v>
      </c>
      <c r="CZ27" s="131"/>
      <c r="DA27" s="131"/>
      <c r="DB27" s="132"/>
      <c r="DC27" s="6"/>
    </row>
    <row r="28" spans="1:107" ht="15.75" customHeight="1" x14ac:dyDescent="0.2">
      <c r="A28" s="151" t="s">
        <v>24</v>
      </c>
      <c r="B28" s="132"/>
      <c r="C28" s="178">
        <f>COUNTIF(C9:C23,"Leave")+COUNTIF(C9:C23,"VL")</f>
        <v>0</v>
      </c>
      <c r="D28" s="131"/>
      <c r="E28" s="131"/>
      <c r="F28" s="132"/>
      <c r="G28" s="178">
        <f>COUNTIF(G9:G23,"Leave")+COUNTIF(G9:G23,"VL")</f>
        <v>0</v>
      </c>
      <c r="H28" s="131"/>
      <c r="I28" s="131"/>
      <c r="J28" s="132"/>
      <c r="K28" s="178">
        <f>COUNTIF(K9:K23,"Leave")+COUNTIF(K9:K23,"VL")</f>
        <v>0</v>
      </c>
      <c r="L28" s="131"/>
      <c r="M28" s="131"/>
      <c r="N28" s="132"/>
      <c r="O28" s="178">
        <f>COUNTIF(O9:O23,"Leave")+COUNTIF(O9:O23,"VL")</f>
        <v>0</v>
      </c>
      <c r="P28" s="131"/>
      <c r="Q28" s="131"/>
      <c r="R28" s="132"/>
      <c r="S28" s="178">
        <f>COUNTIF(S9:S23,"Leave")+COUNTIF(S9:S23,"VL")</f>
        <v>0</v>
      </c>
      <c r="T28" s="131"/>
      <c r="U28" s="131"/>
      <c r="V28" s="132"/>
      <c r="W28" s="178">
        <f>COUNTIF(W9:W23,"Leave")+COUNTIF(W9:W23,"VL")</f>
        <v>0</v>
      </c>
      <c r="X28" s="131"/>
      <c r="Y28" s="131"/>
      <c r="Z28" s="132"/>
      <c r="AA28" s="178">
        <f>COUNTIF(AA9:AA23,"Leave")+COUNTIF(AA9:AA23,"VL")</f>
        <v>0</v>
      </c>
      <c r="AB28" s="131"/>
      <c r="AC28" s="131"/>
      <c r="AD28" s="132"/>
      <c r="AE28" s="178">
        <f>COUNTIF(AE9:AE23,"Leave")+COUNTIF(AE9:AE23,"VL")</f>
        <v>0</v>
      </c>
      <c r="AF28" s="131"/>
      <c r="AG28" s="131"/>
      <c r="AH28" s="132"/>
      <c r="AI28" s="178">
        <f>COUNTIF(AI9:AI24,"Leave")+COUNTIF(AI9:AI24,"VL")</f>
        <v>0</v>
      </c>
      <c r="AJ28" s="131"/>
      <c r="AK28" s="131"/>
      <c r="AL28" s="132"/>
      <c r="AM28" s="178">
        <f>COUNTIF(AM9:AM23,"Leave")+COUNTIF(AM9:AM23,"VL")</f>
        <v>0</v>
      </c>
      <c r="AN28" s="131"/>
      <c r="AO28" s="131"/>
      <c r="AP28" s="132"/>
      <c r="AQ28" s="178">
        <f>COUNTIF(AQ9:AQ23,"Leave")+COUNTIF(AQ9:AQ23,"VL")</f>
        <v>0</v>
      </c>
      <c r="AR28" s="131"/>
      <c r="AS28" s="131"/>
      <c r="AT28" s="132"/>
      <c r="AU28" s="178">
        <f>COUNTIF(AU9:AU23,"Leave")+COUNTIF(AU9:AU23,"VL")</f>
        <v>0</v>
      </c>
      <c r="AV28" s="131"/>
      <c r="AW28" s="131"/>
      <c r="AX28" s="132"/>
      <c r="AY28" s="178">
        <f>COUNTIF(AY9:AY23,"Leave")+COUNTIF(AY9:AY23,"VL")</f>
        <v>0</v>
      </c>
      <c r="AZ28" s="131"/>
      <c r="BA28" s="131"/>
      <c r="BB28" s="132"/>
      <c r="BC28" s="178">
        <f>COUNTIF(BC9:BC23,"Leave")+COUNTIF(BC9:BC23,"VL")</f>
        <v>0</v>
      </c>
      <c r="BD28" s="131"/>
      <c r="BE28" s="131"/>
      <c r="BF28" s="132"/>
      <c r="BG28" s="178">
        <f>COUNTIF(BG9:BG23,"Leave")+COUNTIF(BG9:BG23,"VL")</f>
        <v>0</v>
      </c>
      <c r="BH28" s="131"/>
      <c r="BI28" s="131"/>
      <c r="BJ28" s="132"/>
      <c r="BK28" s="178">
        <f>COUNTIF(BK9:BK23,"Leave")+COUNTIF(BK9:BK23,"VL")</f>
        <v>0</v>
      </c>
      <c r="BL28" s="131"/>
      <c r="BM28" s="131"/>
      <c r="BN28" s="132"/>
      <c r="BO28" s="178">
        <f>COUNTIF(BO9:BO23,"Leave")+COUNTIF(BO9:BO23,"VL")</f>
        <v>0</v>
      </c>
      <c r="BP28" s="131"/>
      <c r="BQ28" s="131"/>
      <c r="BR28" s="132"/>
      <c r="BS28" s="178">
        <f>COUNTIF(BS9:BS23,"Leave")+COUNTIF(BS9:BS23,"VL")</f>
        <v>0</v>
      </c>
      <c r="BT28" s="131"/>
      <c r="BU28" s="131"/>
      <c r="BV28" s="132"/>
      <c r="BW28" s="178">
        <f>COUNTIF(BW9:BW23,"Leave")+COUNTIF(BW9:BW23,"VL")</f>
        <v>0</v>
      </c>
      <c r="BX28" s="131"/>
      <c r="BY28" s="131"/>
      <c r="BZ28" s="132"/>
      <c r="CA28" s="178">
        <f>COUNTIF(CA9:CA23,"Leave")+COUNTIF(CA9:CA23,"VL")</f>
        <v>0</v>
      </c>
      <c r="CB28" s="131"/>
      <c r="CC28" s="131"/>
      <c r="CD28" s="132"/>
      <c r="CE28" s="178">
        <f>COUNTIF(CE9:CE23,"Leave")+COUNTIF(CE9:CE23,"VL")</f>
        <v>0</v>
      </c>
      <c r="CF28" s="131"/>
      <c r="CG28" s="131"/>
      <c r="CH28" s="132"/>
      <c r="CI28" s="178">
        <f>COUNTIF(CI9:CI23,"Leave")+COUNTIF(CI9:CI23,"VL")</f>
        <v>0</v>
      </c>
      <c r="CJ28" s="131"/>
      <c r="CK28" s="131"/>
      <c r="CL28" s="132"/>
      <c r="CM28" s="178">
        <f>COUNTIF(CM9:CM23,"Leave")+COUNTIF(CM9:CM23,"VL")</f>
        <v>0</v>
      </c>
      <c r="CN28" s="131"/>
      <c r="CO28" s="131"/>
      <c r="CP28" s="132"/>
      <c r="CQ28" s="178">
        <f>COUNTIF(CQ9:CQ23,"Leave")+COUNTIF(CQ9:CQ23,"VL")</f>
        <v>0</v>
      </c>
      <c r="CR28" s="131"/>
      <c r="CS28" s="131"/>
      <c r="CT28" s="132"/>
      <c r="CU28" s="178">
        <f>COUNTIF(CU9:CU23,"Leave")+COUNTIF(CU9:CU23,"VL")</f>
        <v>0</v>
      </c>
      <c r="CV28" s="131"/>
      <c r="CW28" s="131"/>
      <c r="CX28" s="132"/>
      <c r="CY28" s="178">
        <f>COUNTIF(CY9:CY23,"Leave")+COUNTIF(CY9:CY23,"VL")</f>
        <v>0</v>
      </c>
      <c r="CZ28" s="131"/>
      <c r="DA28" s="131"/>
      <c r="DB28" s="132"/>
      <c r="DC28" s="6"/>
    </row>
    <row r="29" spans="1:107" ht="15.75" customHeight="1" x14ac:dyDescent="0.2">
      <c r="A29" s="151" t="s">
        <v>26</v>
      </c>
      <c r="B29" s="132"/>
      <c r="C29" s="178">
        <f>COUNTIF(C9:C23,"SL")</f>
        <v>0</v>
      </c>
      <c r="D29" s="131"/>
      <c r="E29" s="131"/>
      <c r="F29" s="132"/>
      <c r="G29" s="178">
        <f>COUNTIF(G9:G23,"SL")</f>
        <v>0</v>
      </c>
      <c r="H29" s="131"/>
      <c r="I29" s="131"/>
      <c r="J29" s="132"/>
      <c r="K29" s="178">
        <f>COUNTIF(K9:K23,"SL")</f>
        <v>0</v>
      </c>
      <c r="L29" s="131"/>
      <c r="M29" s="131"/>
      <c r="N29" s="132"/>
      <c r="O29" s="178">
        <f>COUNTIF(O9:O23,"SL")</f>
        <v>0</v>
      </c>
      <c r="P29" s="131"/>
      <c r="Q29" s="131"/>
      <c r="R29" s="132"/>
      <c r="S29" s="178">
        <f>COUNTIF(S9:S23,"SL")</f>
        <v>0</v>
      </c>
      <c r="T29" s="131"/>
      <c r="U29" s="131"/>
      <c r="V29" s="132"/>
      <c r="W29" s="178">
        <f>COUNTIF(W9:W23,"SL")</f>
        <v>0</v>
      </c>
      <c r="X29" s="131"/>
      <c r="Y29" s="131"/>
      <c r="Z29" s="132"/>
      <c r="AA29" s="178">
        <f>COUNTIF(AA9:AA23,"SL")</f>
        <v>0</v>
      </c>
      <c r="AB29" s="131"/>
      <c r="AC29" s="131"/>
      <c r="AD29" s="132"/>
      <c r="AE29" s="178">
        <f>COUNTIF(AE9:AE23,"SL")</f>
        <v>0</v>
      </c>
      <c r="AF29" s="131"/>
      <c r="AG29" s="131"/>
      <c r="AH29" s="132"/>
      <c r="AI29" s="178">
        <f>COUNTIF(AI9:AI23,"SL")</f>
        <v>0</v>
      </c>
      <c r="AJ29" s="131"/>
      <c r="AK29" s="131"/>
      <c r="AL29" s="132"/>
      <c r="AM29" s="178">
        <f>COUNTIF(AM9:AM23,"SL")</f>
        <v>0</v>
      </c>
      <c r="AN29" s="131"/>
      <c r="AO29" s="131"/>
      <c r="AP29" s="132"/>
      <c r="AQ29" s="178">
        <f>COUNTIF(AQ9:AQ23,"SL")</f>
        <v>0</v>
      </c>
      <c r="AR29" s="131"/>
      <c r="AS29" s="131"/>
      <c r="AT29" s="132"/>
      <c r="AU29" s="178">
        <f>COUNTIF(AU9:AU23,"SL")</f>
        <v>0</v>
      </c>
      <c r="AV29" s="131"/>
      <c r="AW29" s="131"/>
      <c r="AX29" s="132"/>
      <c r="AY29" s="178">
        <f>COUNTIF(AY9:AY23,"SL")</f>
        <v>0</v>
      </c>
      <c r="AZ29" s="131"/>
      <c r="BA29" s="131"/>
      <c r="BB29" s="132"/>
      <c r="BC29" s="178">
        <f>COUNTIF(BC9:BC23,"SL")</f>
        <v>0</v>
      </c>
      <c r="BD29" s="131"/>
      <c r="BE29" s="131"/>
      <c r="BF29" s="132"/>
      <c r="BG29" s="178">
        <f>COUNTIF(BG9:BG23,"SL")</f>
        <v>0</v>
      </c>
      <c r="BH29" s="131"/>
      <c r="BI29" s="131"/>
      <c r="BJ29" s="132"/>
      <c r="BK29" s="178">
        <f>COUNTIF(BK9:BK23,"SL")</f>
        <v>0</v>
      </c>
      <c r="BL29" s="131"/>
      <c r="BM29" s="131"/>
      <c r="BN29" s="132"/>
      <c r="BO29" s="178">
        <f>COUNTIF(BO9:BO23,"SL")</f>
        <v>0</v>
      </c>
      <c r="BP29" s="131"/>
      <c r="BQ29" s="131"/>
      <c r="BR29" s="132"/>
      <c r="BS29" s="178">
        <f>COUNTIF(BS9:BS23,"SL")</f>
        <v>0</v>
      </c>
      <c r="BT29" s="131"/>
      <c r="BU29" s="131"/>
      <c r="BV29" s="132"/>
      <c r="BW29" s="178">
        <f>COUNTIF(BW9:BW23,"SL")</f>
        <v>0</v>
      </c>
      <c r="BX29" s="131"/>
      <c r="BY29" s="131"/>
      <c r="BZ29" s="132"/>
      <c r="CA29" s="178">
        <f>COUNTIF(CA9:CA23,"SL")</f>
        <v>0</v>
      </c>
      <c r="CB29" s="131"/>
      <c r="CC29" s="131"/>
      <c r="CD29" s="132"/>
      <c r="CE29" s="178">
        <f>COUNTIF(CE9:CE23,"SL")</f>
        <v>0</v>
      </c>
      <c r="CF29" s="131"/>
      <c r="CG29" s="131"/>
      <c r="CH29" s="132"/>
      <c r="CI29" s="178">
        <f>COUNTIF(CI9:CI23,"SL")</f>
        <v>0</v>
      </c>
      <c r="CJ29" s="131"/>
      <c r="CK29" s="131"/>
      <c r="CL29" s="132"/>
      <c r="CM29" s="178">
        <f>COUNTIF(CM9:CM23,"SL")</f>
        <v>0</v>
      </c>
      <c r="CN29" s="131"/>
      <c r="CO29" s="131"/>
      <c r="CP29" s="132"/>
      <c r="CQ29" s="178">
        <f>COUNTIF(CQ9:CQ23,"SL")</f>
        <v>0</v>
      </c>
      <c r="CR29" s="131"/>
      <c r="CS29" s="131"/>
      <c r="CT29" s="132"/>
      <c r="CU29" s="178">
        <f>COUNTIF(CU9:CU23,"SL")</f>
        <v>0</v>
      </c>
      <c r="CV29" s="131"/>
      <c r="CW29" s="131"/>
      <c r="CX29" s="132"/>
      <c r="CY29" s="178">
        <f>COUNTIF(CY9:CY23,"SL")</f>
        <v>0</v>
      </c>
      <c r="CZ29" s="131"/>
      <c r="DA29" s="131"/>
      <c r="DB29" s="132"/>
      <c r="DC29" s="6"/>
    </row>
    <row r="30" spans="1:107" ht="15.75" customHeight="1" x14ac:dyDescent="0.2">
      <c r="A30" s="151" t="s">
        <v>76</v>
      </c>
      <c r="B30" s="132"/>
      <c r="C30" s="178">
        <f>COUNTIF(C9:C23,"ML")</f>
        <v>0</v>
      </c>
      <c r="D30" s="131"/>
      <c r="E30" s="131"/>
      <c r="F30" s="132"/>
      <c r="G30" s="178">
        <f>COUNTIF(G9:G23,"ML")</f>
        <v>0</v>
      </c>
      <c r="H30" s="131"/>
      <c r="I30" s="131"/>
      <c r="J30" s="132"/>
      <c r="K30" s="178">
        <f>COUNTIF(K9:K23,"ML")</f>
        <v>0</v>
      </c>
      <c r="L30" s="131"/>
      <c r="M30" s="131"/>
      <c r="N30" s="132"/>
      <c r="O30" s="178">
        <f>COUNTIF(O9:O23,"ML")</f>
        <v>0</v>
      </c>
      <c r="P30" s="131"/>
      <c r="Q30" s="131"/>
      <c r="R30" s="132"/>
      <c r="S30" s="178">
        <f>COUNTIF(S9:S23,"ML")</f>
        <v>0</v>
      </c>
      <c r="T30" s="131"/>
      <c r="U30" s="131"/>
      <c r="V30" s="132"/>
      <c r="W30" s="178">
        <f>COUNTIF(W9:W23,"ML")</f>
        <v>0</v>
      </c>
      <c r="X30" s="131"/>
      <c r="Y30" s="131"/>
      <c r="Z30" s="132"/>
      <c r="AA30" s="178">
        <f>COUNTIF(AA9:AA23,"ML")</f>
        <v>0</v>
      </c>
      <c r="AB30" s="131"/>
      <c r="AC30" s="131"/>
      <c r="AD30" s="132"/>
      <c r="AE30" s="178">
        <f>COUNTIF(AE9:AE23,"ML")</f>
        <v>0</v>
      </c>
      <c r="AF30" s="131"/>
      <c r="AG30" s="131"/>
      <c r="AH30" s="132"/>
      <c r="AI30" s="178">
        <f>COUNTIF(AI9:AI23,"ML")</f>
        <v>0</v>
      </c>
      <c r="AJ30" s="131"/>
      <c r="AK30" s="131"/>
      <c r="AL30" s="132"/>
      <c r="AM30" s="178">
        <f>COUNTIF(AM9:AM23,"ML")</f>
        <v>0</v>
      </c>
      <c r="AN30" s="131"/>
      <c r="AO30" s="131"/>
      <c r="AP30" s="132"/>
      <c r="AQ30" s="178">
        <f>COUNTIF(AQ9:AQ23,"ML")</f>
        <v>0</v>
      </c>
      <c r="AR30" s="131"/>
      <c r="AS30" s="131"/>
      <c r="AT30" s="132"/>
      <c r="AU30" s="178">
        <f>COUNTIF(AU9:AU23,"ML")</f>
        <v>0</v>
      </c>
      <c r="AV30" s="131"/>
      <c r="AW30" s="131"/>
      <c r="AX30" s="132"/>
      <c r="AY30" s="178">
        <f>COUNTIF(AY9:AY23,"ML")</f>
        <v>0</v>
      </c>
      <c r="AZ30" s="131"/>
      <c r="BA30" s="131"/>
      <c r="BB30" s="132"/>
      <c r="BC30" s="178">
        <f>COUNTIF(BC9:BC23,"ML")</f>
        <v>0</v>
      </c>
      <c r="BD30" s="131"/>
      <c r="BE30" s="131"/>
      <c r="BF30" s="132"/>
      <c r="BG30" s="178">
        <f>COUNTIF(BG9:BG23,"ML")</f>
        <v>0</v>
      </c>
      <c r="BH30" s="131"/>
      <c r="BI30" s="131"/>
      <c r="BJ30" s="132"/>
      <c r="BK30" s="178">
        <f>COUNTIF(BK9:BK23,"ML")</f>
        <v>0</v>
      </c>
      <c r="BL30" s="131"/>
      <c r="BM30" s="131"/>
      <c r="BN30" s="132"/>
      <c r="BO30" s="178">
        <f>COUNTIF(BO9:BO23,"ML")</f>
        <v>0</v>
      </c>
      <c r="BP30" s="131"/>
      <c r="BQ30" s="131"/>
      <c r="BR30" s="132"/>
      <c r="BS30" s="178">
        <f>COUNTIF(BS9:BS23,"ML")</f>
        <v>0</v>
      </c>
      <c r="BT30" s="131"/>
      <c r="BU30" s="131"/>
      <c r="BV30" s="132"/>
      <c r="BW30" s="178">
        <f>COUNTIF(BW9:BW23,"ML")</f>
        <v>0</v>
      </c>
      <c r="BX30" s="131"/>
      <c r="BY30" s="131"/>
      <c r="BZ30" s="132"/>
      <c r="CA30" s="178">
        <f>COUNTIF(CA9:CA23,"ML")</f>
        <v>0</v>
      </c>
      <c r="CB30" s="131"/>
      <c r="CC30" s="131"/>
      <c r="CD30" s="132"/>
      <c r="CE30" s="178">
        <f>COUNTIF(CE9:CE23,"ML")</f>
        <v>0</v>
      </c>
      <c r="CF30" s="131"/>
      <c r="CG30" s="131"/>
      <c r="CH30" s="132"/>
      <c r="CI30" s="178">
        <f>COUNTIF(CI9:CI23,"ML")</f>
        <v>0</v>
      </c>
      <c r="CJ30" s="131"/>
      <c r="CK30" s="131"/>
      <c r="CL30" s="132"/>
      <c r="CM30" s="178">
        <f>COUNTIF(CM9:CM23,"ML")</f>
        <v>0</v>
      </c>
      <c r="CN30" s="131"/>
      <c r="CO30" s="131"/>
      <c r="CP30" s="132"/>
      <c r="CQ30" s="178">
        <f>COUNTIF(CQ9:CQ23,"ML")</f>
        <v>0</v>
      </c>
      <c r="CR30" s="131"/>
      <c r="CS30" s="131"/>
      <c r="CT30" s="132"/>
      <c r="CU30" s="178">
        <f>COUNTIF(CU9:CU23,"ML")</f>
        <v>0</v>
      </c>
      <c r="CV30" s="131"/>
      <c r="CW30" s="131"/>
      <c r="CX30" s="132"/>
      <c r="CY30" s="178">
        <f>COUNTIF(CY9:CY23,"ML")</f>
        <v>0</v>
      </c>
      <c r="CZ30" s="131"/>
      <c r="DA30" s="131"/>
      <c r="DB30" s="132"/>
      <c r="DC30" s="6"/>
    </row>
    <row r="31" spans="1:107" ht="15.75" customHeight="1" x14ac:dyDescent="0.25">
      <c r="A31" s="2"/>
      <c r="B31" s="2"/>
      <c r="C31" s="69"/>
      <c r="D31" s="69"/>
      <c r="E31" s="69"/>
      <c r="F31" s="69"/>
      <c r="G31" s="24"/>
      <c r="H31" s="24"/>
      <c r="I31" s="24"/>
      <c r="J31" s="24"/>
      <c r="K31" s="24"/>
      <c r="L31" s="74"/>
      <c r="M31" s="74"/>
      <c r="N31" s="74"/>
      <c r="O31" s="7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6"/>
      <c r="CV31" s="6"/>
      <c r="CW31" s="6"/>
      <c r="CX31" s="6"/>
      <c r="CY31" s="6"/>
      <c r="CZ31" s="6"/>
      <c r="DA31" s="6"/>
      <c r="DB31" s="6"/>
      <c r="DC31" s="6"/>
    </row>
    <row r="32" spans="1:107" ht="15.75" customHeight="1" x14ac:dyDescent="0.25">
      <c r="A32" s="2"/>
      <c r="B32" s="2"/>
      <c r="C32" s="69"/>
      <c r="D32" s="69"/>
      <c r="E32" s="69"/>
      <c r="F32" s="69"/>
      <c r="G32" s="24"/>
      <c r="H32" s="24"/>
      <c r="I32" s="24"/>
      <c r="J32" s="24"/>
      <c r="K32" s="69"/>
      <c r="L32" s="74"/>
      <c r="M32" s="74"/>
      <c r="N32" s="74"/>
      <c r="O32" s="74"/>
      <c r="P32" s="69"/>
      <c r="Q32" s="69"/>
      <c r="R32" s="69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6"/>
      <c r="CV32" s="6"/>
      <c r="CW32" s="6"/>
      <c r="CX32" s="6"/>
      <c r="CY32" s="6"/>
      <c r="CZ32" s="6"/>
      <c r="DA32" s="6"/>
      <c r="DB32" s="6"/>
      <c r="DC32" s="6"/>
    </row>
    <row r="33" spans="1:107" ht="15.75" customHeight="1" x14ac:dyDescent="0.25">
      <c r="A33" s="2"/>
      <c r="B33" s="2"/>
      <c r="C33" s="69"/>
      <c r="D33" s="69"/>
      <c r="E33" s="69"/>
      <c r="F33" s="69"/>
      <c r="G33" s="24"/>
      <c r="H33" s="24"/>
      <c r="I33" s="24"/>
      <c r="J33" s="24"/>
      <c r="K33" s="69"/>
      <c r="L33" s="74"/>
      <c r="M33" s="74"/>
      <c r="N33" s="74"/>
      <c r="O33" s="74"/>
      <c r="P33" s="69"/>
      <c r="Q33" s="69"/>
      <c r="R33" s="69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6"/>
      <c r="CV33" s="6"/>
      <c r="CW33" s="6"/>
      <c r="CX33" s="6"/>
      <c r="CY33" s="6"/>
      <c r="CZ33" s="6"/>
      <c r="DA33" s="6"/>
      <c r="DB33" s="6"/>
      <c r="DC33" s="6"/>
    </row>
    <row r="34" spans="1:107" ht="15.75" customHeight="1" x14ac:dyDescent="0.25">
      <c r="A34" s="2"/>
      <c r="B34" s="2"/>
      <c r="C34" s="69"/>
      <c r="D34" s="69"/>
      <c r="E34" s="69"/>
      <c r="F34" s="69"/>
      <c r="G34" s="24"/>
      <c r="H34" s="24"/>
      <c r="I34" s="24"/>
      <c r="J34" s="24"/>
      <c r="K34" s="69"/>
      <c r="L34" s="69"/>
      <c r="M34" s="69"/>
      <c r="N34" s="69"/>
      <c r="O34" s="24"/>
      <c r="P34" s="69"/>
      <c r="Q34" s="69"/>
      <c r="R34" s="69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6"/>
      <c r="CV34" s="6"/>
      <c r="CW34" s="6"/>
      <c r="CX34" s="6"/>
      <c r="CY34" s="6"/>
      <c r="CZ34" s="6"/>
      <c r="DA34" s="6"/>
      <c r="DB34" s="6"/>
      <c r="DC34" s="6"/>
    </row>
    <row r="35" spans="1:107" ht="15.75" customHeight="1" x14ac:dyDescent="0.25">
      <c r="A35" s="2"/>
      <c r="B35" s="2"/>
      <c r="C35" s="69"/>
      <c r="D35" s="69"/>
      <c r="E35" s="69"/>
      <c r="F35" s="69"/>
      <c r="G35" s="24"/>
      <c r="H35" s="24"/>
      <c r="I35" s="24"/>
      <c r="J35" s="24"/>
      <c r="K35" s="69"/>
      <c r="L35" s="69"/>
      <c r="M35" s="69"/>
      <c r="N35" s="69"/>
      <c r="O35" s="24"/>
      <c r="P35" s="69"/>
      <c r="Q35" s="69"/>
      <c r="R35" s="69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6"/>
      <c r="CV35" s="6"/>
      <c r="CW35" s="6"/>
      <c r="CX35" s="6"/>
      <c r="CY35" s="6"/>
      <c r="CZ35" s="6"/>
      <c r="DA35" s="6"/>
      <c r="DB35" s="6"/>
      <c r="DC35" s="6"/>
    </row>
    <row r="36" spans="1:107" ht="15.75" customHeight="1" x14ac:dyDescent="0.25">
      <c r="A36" s="2"/>
      <c r="B36" s="2"/>
      <c r="C36" s="18"/>
      <c r="D36" s="42"/>
      <c r="E36" s="42"/>
      <c r="F36" s="42"/>
      <c r="G36" s="24"/>
      <c r="H36" s="24"/>
      <c r="I36" s="24"/>
      <c r="J36" s="24"/>
      <c r="K36" s="69"/>
      <c r="L36" s="69"/>
      <c r="M36" s="69"/>
      <c r="N36" s="69"/>
      <c r="O36" s="24"/>
      <c r="P36" s="69"/>
      <c r="Q36" s="69"/>
      <c r="R36" s="69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6"/>
      <c r="CV36" s="6"/>
      <c r="CW36" s="6"/>
      <c r="CX36" s="6"/>
      <c r="CY36" s="6"/>
      <c r="CZ36" s="6"/>
      <c r="DA36" s="6"/>
      <c r="DB36" s="6"/>
      <c r="DC36" s="6"/>
    </row>
    <row r="37" spans="1:107" ht="15.75" customHeight="1" x14ac:dyDescent="0.25">
      <c r="A37" s="2"/>
      <c r="B37" s="2"/>
      <c r="C37" s="69"/>
      <c r="D37" s="69"/>
      <c r="E37" s="69"/>
      <c r="F37" s="69"/>
      <c r="G37" s="24"/>
      <c r="H37" s="24"/>
      <c r="I37" s="24"/>
      <c r="J37" s="24"/>
      <c r="K37" s="18"/>
      <c r="L37" s="42"/>
      <c r="M37" s="42"/>
      <c r="N37" s="42"/>
      <c r="O37" s="24"/>
      <c r="P37" s="18"/>
      <c r="Q37" s="18"/>
      <c r="R37" s="18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6"/>
      <c r="CV37" s="6"/>
      <c r="CW37" s="6"/>
      <c r="CX37" s="6"/>
      <c r="CY37" s="6"/>
      <c r="CZ37" s="6"/>
      <c r="DA37" s="6"/>
      <c r="DB37" s="6"/>
      <c r="DC37" s="6"/>
    </row>
    <row r="38" spans="1:107" ht="15.75" customHeight="1" x14ac:dyDescent="0.25">
      <c r="A38" s="2"/>
      <c r="B38" s="2"/>
      <c r="C38" s="69"/>
      <c r="D38" s="69"/>
      <c r="E38" s="69"/>
      <c r="F38" s="69"/>
      <c r="G38" s="24"/>
      <c r="H38" s="24"/>
      <c r="I38" s="24"/>
      <c r="J38" s="24"/>
      <c r="K38" s="69"/>
      <c r="L38" s="69"/>
      <c r="M38" s="69"/>
      <c r="N38" s="69"/>
      <c r="O38" s="24"/>
      <c r="P38" s="69"/>
      <c r="Q38" s="69"/>
      <c r="R38" s="69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6"/>
      <c r="CV38" s="6"/>
      <c r="CW38" s="6"/>
      <c r="CX38" s="6"/>
      <c r="CY38" s="6"/>
      <c r="CZ38" s="6"/>
      <c r="DA38" s="6"/>
      <c r="DB38" s="6"/>
      <c r="DC38" s="6"/>
    </row>
    <row r="39" spans="1:107" ht="15.75" customHeight="1" x14ac:dyDescent="0.25">
      <c r="A39" s="2"/>
      <c r="B39" s="2"/>
      <c r="C39" s="69"/>
      <c r="D39" s="69"/>
      <c r="E39" s="69"/>
      <c r="F39" s="69"/>
      <c r="G39" s="24"/>
      <c r="H39" s="24"/>
      <c r="I39" s="24"/>
      <c r="J39" s="24"/>
      <c r="K39" s="69"/>
      <c r="L39" s="69"/>
      <c r="M39" s="69"/>
      <c r="N39" s="69"/>
      <c r="O39" s="24"/>
      <c r="P39" s="69"/>
      <c r="Q39" s="69"/>
      <c r="R39" s="69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6"/>
      <c r="CV39" s="6"/>
      <c r="CW39" s="6"/>
      <c r="CX39" s="6"/>
      <c r="CY39" s="6"/>
      <c r="CZ39" s="6"/>
      <c r="DA39" s="6"/>
      <c r="DB39" s="6"/>
      <c r="DC39" s="6"/>
    </row>
    <row r="40" spans="1:107" ht="15.75" customHeight="1" x14ac:dyDescent="0.25">
      <c r="A40" s="2"/>
      <c r="B40" s="2"/>
      <c r="C40" s="69"/>
      <c r="D40" s="69"/>
      <c r="E40" s="69"/>
      <c r="F40" s="69"/>
      <c r="G40" s="24"/>
      <c r="H40" s="24"/>
      <c r="I40" s="24"/>
      <c r="J40" s="24"/>
      <c r="K40" s="69"/>
      <c r="L40" s="69"/>
      <c r="M40" s="69"/>
      <c r="N40" s="69"/>
      <c r="O40" s="24"/>
      <c r="P40" s="69"/>
      <c r="Q40" s="69"/>
      <c r="R40" s="69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6"/>
      <c r="CV40" s="6"/>
      <c r="CW40" s="6"/>
      <c r="CX40" s="6"/>
      <c r="CY40" s="6"/>
      <c r="CZ40" s="6"/>
      <c r="DA40" s="6"/>
      <c r="DB40" s="6"/>
      <c r="DC40" s="6"/>
    </row>
    <row r="41" spans="1:107" ht="15.75" customHeight="1" x14ac:dyDescent="0.25">
      <c r="A41" s="2"/>
      <c r="B41" s="2"/>
      <c r="C41" s="69"/>
      <c r="D41" s="69"/>
      <c r="E41" s="69"/>
      <c r="F41" s="69"/>
      <c r="G41" s="24"/>
      <c r="H41" s="24"/>
      <c r="I41" s="24"/>
      <c r="J41" s="24"/>
      <c r="K41" s="69"/>
      <c r="L41" s="69"/>
      <c r="M41" s="69"/>
      <c r="N41" s="69"/>
      <c r="O41" s="24"/>
      <c r="P41" s="69"/>
      <c r="Q41" s="69"/>
      <c r="R41" s="69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6"/>
      <c r="CV41" s="6"/>
      <c r="CW41" s="6"/>
      <c r="CX41" s="6"/>
      <c r="CY41" s="6"/>
      <c r="CZ41" s="6"/>
      <c r="DA41" s="6"/>
      <c r="DB41" s="6"/>
      <c r="DC41" s="6"/>
    </row>
    <row r="42" spans="1:107" ht="15.75" customHeight="1" x14ac:dyDescent="0.25">
      <c r="A42" s="2"/>
      <c r="B42" s="2"/>
      <c r="C42" s="69"/>
      <c r="D42" s="69"/>
      <c r="E42" s="69"/>
      <c r="F42" s="69"/>
      <c r="G42" s="24"/>
      <c r="H42" s="24"/>
      <c r="I42" s="24"/>
      <c r="J42" s="24"/>
      <c r="K42" s="69"/>
      <c r="L42" s="69"/>
      <c r="M42" s="69"/>
      <c r="N42" s="69"/>
      <c r="O42" s="24"/>
      <c r="P42" s="69"/>
      <c r="Q42" s="69"/>
      <c r="R42" s="69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6"/>
      <c r="CV42" s="6"/>
      <c r="CW42" s="6"/>
      <c r="CX42" s="6"/>
      <c r="CY42" s="6"/>
      <c r="CZ42" s="6"/>
      <c r="DA42" s="6"/>
      <c r="DB42" s="6"/>
      <c r="DC42" s="6"/>
    </row>
    <row r="43" spans="1:107" ht="15.75" customHeight="1" x14ac:dyDescent="0.25">
      <c r="A43" s="2"/>
      <c r="B43" s="2"/>
      <c r="C43" s="18"/>
      <c r="D43" s="42"/>
      <c r="E43" s="42"/>
      <c r="F43" s="42"/>
      <c r="G43" s="24"/>
      <c r="H43" s="24"/>
      <c r="I43" s="24"/>
      <c r="J43" s="24"/>
      <c r="K43" s="69"/>
      <c r="L43" s="69"/>
      <c r="M43" s="69"/>
      <c r="N43" s="69"/>
      <c r="O43" s="24"/>
      <c r="P43" s="69"/>
      <c r="Q43" s="69"/>
      <c r="R43" s="69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6"/>
      <c r="CV43" s="6"/>
      <c r="CW43" s="6"/>
      <c r="CX43" s="6"/>
      <c r="CY43" s="6"/>
      <c r="CZ43" s="6"/>
      <c r="DA43" s="6"/>
      <c r="DB43" s="6"/>
      <c r="DC43" s="6"/>
    </row>
    <row r="44" spans="1:107" ht="15.75" customHeight="1" x14ac:dyDescent="0.25">
      <c r="A44" s="2"/>
      <c r="B44" s="2"/>
      <c r="C44" s="69"/>
      <c r="D44" s="69"/>
      <c r="E44" s="69"/>
      <c r="F44" s="69"/>
      <c r="G44" s="24"/>
      <c r="H44" s="24"/>
      <c r="I44" s="24"/>
      <c r="J44" s="24"/>
      <c r="K44" s="18"/>
      <c r="L44" s="42"/>
      <c r="M44" s="42"/>
      <c r="N44" s="42"/>
      <c r="O44" s="24"/>
      <c r="P44" s="18"/>
      <c r="Q44" s="18"/>
      <c r="R44" s="18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6"/>
      <c r="CV44" s="6"/>
      <c r="CW44" s="6"/>
      <c r="CX44" s="6"/>
      <c r="CY44" s="6"/>
      <c r="CZ44" s="6"/>
      <c r="DA44" s="6"/>
      <c r="DB44" s="6"/>
      <c r="DC44" s="6"/>
    </row>
    <row r="45" spans="1:107" ht="15.75" customHeight="1" x14ac:dyDescent="0.25">
      <c r="A45" s="2"/>
      <c r="B45" s="2"/>
      <c r="C45" s="69"/>
      <c r="D45" s="69"/>
      <c r="E45" s="69"/>
      <c r="F45" s="69"/>
      <c r="G45" s="24"/>
      <c r="H45" s="24"/>
      <c r="I45" s="24"/>
      <c r="J45" s="24"/>
      <c r="K45" s="69"/>
      <c r="L45" s="69"/>
      <c r="M45" s="69"/>
      <c r="N45" s="69"/>
      <c r="O45" s="24"/>
      <c r="P45" s="69"/>
      <c r="Q45" s="69"/>
      <c r="R45" s="69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6"/>
      <c r="CV45" s="6"/>
      <c r="CW45" s="6"/>
      <c r="CX45" s="6"/>
      <c r="CY45" s="6"/>
      <c r="CZ45" s="6"/>
      <c r="DA45" s="6"/>
      <c r="DB45" s="6"/>
      <c r="DC45" s="6"/>
    </row>
    <row r="46" spans="1:107" ht="15.75" customHeight="1" x14ac:dyDescent="0.25">
      <c r="A46" s="2"/>
      <c r="B46" s="2"/>
      <c r="C46" s="24"/>
      <c r="D46" s="24"/>
      <c r="E46" s="24"/>
      <c r="F46" s="24"/>
      <c r="G46" s="24"/>
      <c r="H46" s="24"/>
      <c r="I46" s="24"/>
      <c r="J46" s="24"/>
      <c r="K46" s="69"/>
      <c r="L46" s="69"/>
      <c r="M46" s="69"/>
      <c r="N46" s="69"/>
      <c r="O46" s="24"/>
      <c r="P46" s="69"/>
      <c r="Q46" s="69"/>
      <c r="R46" s="69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6"/>
      <c r="CV46" s="6"/>
      <c r="CW46" s="6"/>
      <c r="CX46" s="6"/>
      <c r="CY46" s="6"/>
      <c r="CZ46" s="6"/>
      <c r="DA46" s="6"/>
      <c r="DB46" s="6"/>
      <c r="DC46" s="6"/>
    </row>
    <row r="47" spans="1:107" ht="15.75" customHeight="1" x14ac:dyDescent="0.25">
      <c r="A47" s="2"/>
      <c r="B47" s="2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6"/>
      <c r="CV47" s="6"/>
      <c r="CW47" s="6"/>
      <c r="CX47" s="6"/>
      <c r="CY47" s="6"/>
      <c r="CZ47" s="6"/>
      <c r="DA47" s="6"/>
      <c r="DB47" s="6"/>
      <c r="DC47" s="6"/>
    </row>
    <row r="48" spans="1:107" ht="15.75" customHeight="1" x14ac:dyDescent="0.25">
      <c r="A48" s="2"/>
      <c r="B48" s="2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6"/>
      <c r="CV48" s="6"/>
      <c r="CW48" s="6"/>
      <c r="CX48" s="6"/>
      <c r="CY48" s="6"/>
      <c r="CZ48" s="6"/>
      <c r="DA48" s="6"/>
      <c r="DB48" s="6"/>
      <c r="DC48" s="6"/>
    </row>
    <row r="49" spans="1:107" ht="15.75" customHeight="1" x14ac:dyDescent="0.25">
      <c r="A49" s="2"/>
      <c r="B49" s="2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6"/>
      <c r="CV49" s="6"/>
      <c r="CW49" s="6"/>
      <c r="CX49" s="6"/>
      <c r="CY49" s="6"/>
      <c r="CZ49" s="6"/>
      <c r="DA49" s="6"/>
      <c r="DB49" s="6"/>
      <c r="DC49" s="6"/>
    </row>
    <row r="50" spans="1:107" ht="15.75" customHeight="1" x14ac:dyDescent="0.25">
      <c r="A50" s="2"/>
      <c r="B50" s="2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6"/>
      <c r="CV50" s="6"/>
      <c r="CW50" s="6"/>
      <c r="CX50" s="6"/>
      <c r="CY50" s="6"/>
      <c r="CZ50" s="6"/>
      <c r="DA50" s="6"/>
      <c r="DB50" s="6"/>
      <c r="DC50" s="6"/>
    </row>
    <row r="51" spans="1:107" ht="15.75" customHeight="1" x14ac:dyDescent="0.25">
      <c r="A51" s="2"/>
      <c r="B51" s="2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6"/>
      <c r="CV51" s="6"/>
      <c r="CW51" s="6"/>
      <c r="CX51" s="6"/>
      <c r="CY51" s="6"/>
      <c r="CZ51" s="6"/>
      <c r="DA51" s="6"/>
      <c r="DB51" s="6"/>
      <c r="DC51" s="6"/>
    </row>
    <row r="52" spans="1:107" ht="15.75" customHeight="1" x14ac:dyDescent="0.25">
      <c r="A52" s="2"/>
      <c r="B52" s="2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6"/>
      <c r="CV52" s="6"/>
      <c r="CW52" s="6"/>
      <c r="CX52" s="6"/>
      <c r="CY52" s="6"/>
      <c r="CZ52" s="6"/>
      <c r="DA52" s="6"/>
      <c r="DB52" s="6"/>
      <c r="DC52" s="6"/>
    </row>
    <row r="53" spans="1:107" ht="15.75" customHeight="1" x14ac:dyDescent="0.25">
      <c r="A53" s="2"/>
      <c r="B53" s="2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6"/>
      <c r="CV53" s="6"/>
      <c r="CW53" s="6"/>
      <c r="CX53" s="6"/>
      <c r="CY53" s="6"/>
      <c r="CZ53" s="6"/>
      <c r="DA53" s="6"/>
      <c r="DB53" s="6"/>
      <c r="DC53" s="6"/>
    </row>
    <row r="54" spans="1:107" ht="15.75" customHeight="1" x14ac:dyDescent="0.25">
      <c r="A54" s="2"/>
      <c r="B54" s="2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6"/>
      <c r="CV54" s="6"/>
      <c r="CW54" s="6"/>
      <c r="CX54" s="6"/>
      <c r="CY54" s="6"/>
      <c r="CZ54" s="6"/>
      <c r="DA54" s="6"/>
      <c r="DB54" s="6"/>
      <c r="DC54" s="6"/>
    </row>
    <row r="55" spans="1:107" ht="15.75" customHeight="1" x14ac:dyDescent="0.25">
      <c r="A55" s="2"/>
      <c r="B55" s="2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6"/>
      <c r="CV55" s="6"/>
      <c r="CW55" s="6"/>
      <c r="CX55" s="6"/>
      <c r="CY55" s="6"/>
      <c r="CZ55" s="6"/>
      <c r="DA55" s="6"/>
      <c r="DB55" s="6"/>
      <c r="DC55" s="6"/>
    </row>
    <row r="56" spans="1:107" ht="15.75" customHeight="1" x14ac:dyDescent="0.25">
      <c r="A56" s="2"/>
      <c r="B56" s="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6"/>
      <c r="CV56" s="6"/>
      <c r="CW56" s="6"/>
      <c r="CX56" s="6"/>
      <c r="CY56" s="6"/>
      <c r="CZ56" s="6"/>
      <c r="DA56" s="6"/>
      <c r="DB56" s="6"/>
      <c r="DC56" s="6"/>
    </row>
    <row r="57" spans="1:107" ht="15.75" customHeight="1" x14ac:dyDescent="0.25">
      <c r="A57" s="2"/>
      <c r="B57" s="2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6"/>
      <c r="CV57" s="6"/>
      <c r="CW57" s="6"/>
      <c r="CX57" s="6"/>
      <c r="CY57" s="6"/>
      <c r="CZ57" s="6"/>
      <c r="DA57" s="6"/>
      <c r="DB57" s="6"/>
      <c r="DC57" s="6"/>
    </row>
    <row r="58" spans="1:107" ht="15.75" customHeight="1" x14ac:dyDescent="0.25">
      <c r="A58" s="2"/>
      <c r="B58" s="2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6"/>
      <c r="CV58" s="6"/>
      <c r="CW58" s="6"/>
      <c r="CX58" s="6"/>
      <c r="CY58" s="6"/>
      <c r="CZ58" s="6"/>
      <c r="DA58" s="6"/>
      <c r="DB58" s="6"/>
      <c r="DC58" s="6"/>
    </row>
    <row r="59" spans="1:107" ht="15.75" customHeight="1" x14ac:dyDescent="0.25">
      <c r="A59" s="2"/>
      <c r="B59" s="2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6"/>
      <c r="CV59" s="6"/>
      <c r="CW59" s="6"/>
      <c r="CX59" s="6"/>
      <c r="CY59" s="6"/>
      <c r="CZ59" s="6"/>
      <c r="DA59" s="6"/>
      <c r="DB59" s="6"/>
      <c r="DC59" s="6"/>
    </row>
    <row r="60" spans="1:107" ht="15.75" customHeight="1" x14ac:dyDescent="0.25">
      <c r="A60" s="2"/>
      <c r="B60" s="2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6"/>
      <c r="CV60" s="6"/>
      <c r="CW60" s="6"/>
      <c r="CX60" s="6"/>
      <c r="CY60" s="6"/>
      <c r="CZ60" s="6"/>
      <c r="DA60" s="6"/>
      <c r="DB60" s="6"/>
      <c r="DC60" s="6"/>
    </row>
    <row r="61" spans="1:107" ht="15.75" customHeight="1" x14ac:dyDescent="0.25">
      <c r="A61" s="2"/>
      <c r="B61" s="2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6"/>
      <c r="CV61" s="6"/>
      <c r="CW61" s="6"/>
      <c r="CX61" s="6"/>
      <c r="CY61" s="6"/>
      <c r="CZ61" s="6"/>
      <c r="DA61" s="6"/>
      <c r="DB61" s="6"/>
      <c r="DC61" s="6"/>
    </row>
    <row r="62" spans="1:107" ht="15.75" customHeight="1" x14ac:dyDescent="0.25">
      <c r="A62" s="2"/>
      <c r="B62" s="2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6"/>
      <c r="CV62" s="6"/>
      <c r="CW62" s="6"/>
      <c r="CX62" s="6"/>
      <c r="CY62" s="6"/>
      <c r="CZ62" s="6"/>
      <c r="DA62" s="6"/>
      <c r="DB62" s="6"/>
      <c r="DC62" s="6"/>
    </row>
    <row r="63" spans="1:10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6"/>
      <c r="CV63" s="6"/>
      <c r="CW63" s="6"/>
      <c r="CX63" s="6"/>
      <c r="CY63" s="6"/>
      <c r="CZ63" s="6"/>
      <c r="DA63" s="6"/>
      <c r="DB63" s="6"/>
      <c r="DC63" s="6"/>
    </row>
    <row r="64" spans="1:10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6"/>
      <c r="CV64" s="6"/>
      <c r="CW64" s="6"/>
      <c r="CX64" s="6"/>
      <c r="CY64" s="6"/>
      <c r="CZ64" s="6"/>
      <c r="DA64" s="6"/>
      <c r="DB64" s="6"/>
      <c r="DC64" s="6"/>
    </row>
    <row r="65" spans="1:10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6"/>
      <c r="CV65" s="6"/>
      <c r="CW65" s="6"/>
      <c r="CX65" s="6"/>
      <c r="CY65" s="6"/>
      <c r="CZ65" s="6"/>
      <c r="DA65" s="6"/>
      <c r="DB65" s="6"/>
      <c r="DC65" s="6"/>
    </row>
    <row r="66" spans="1:10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6"/>
      <c r="CV66" s="6"/>
      <c r="CW66" s="6"/>
      <c r="CX66" s="6"/>
      <c r="CY66" s="6"/>
      <c r="CZ66" s="6"/>
      <c r="DA66" s="6"/>
      <c r="DB66" s="6"/>
      <c r="DC66" s="6"/>
    </row>
    <row r="67" spans="1:10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6"/>
      <c r="CV67" s="6"/>
      <c r="CW67" s="6"/>
      <c r="CX67" s="6"/>
      <c r="CY67" s="6"/>
      <c r="CZ67" s="6"/>
      <c r="DA67" s="6"/>
      <c r="DB67" s="6"/>
      <c r="DC67" s="6"/>
    </row>
    <row r="68" spans="1:10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6"/>
      <c r="CV68" s="6"/>
      <c r="CW68" s="6"/>
      <c r="CX68" s="6"/>
      <c r="CY68" s="6"/>
      <c r="CZ68" s="6"/>
      <c r="DA68" s="6"/>
      <c r="DB68" s="6"/>
      <c r="DC68" s="6"/>
    </row>
    <row r="69" spans="1:10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6"/>
      <c r="CV69" s="6"/>
      <c r="CW69" s="6"/>
      <c r="CX69" s="6"/>
      <c r="CY69" s="6"/>
      <c r="CZ69" s="6"/>
      <c r="DA69" s="6"/>
      <c r="DB69" s="6"/>
      <c r="DC69" s="6"/>
    </row>
    <row r="70" spans="1:10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6"/>
      <c r="CV70" s="6"/>
      <c r="CW70" s="6"/>
      <c r="CX70" s="6"/>
      <c r="CY70" s="6"/>
      <c r="CZ70" s="6"/>
      <c r="DA70" s="6"/>
      <c r="DB70" s="6"/>
      <c r="DC70" s="6"/>
    </row>
    <row r="71" spans="1:10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6"/>
      <c r="CV71" s="6"/>
      <c r="CW71" s="6"/>
      <c r="CX71" s="6"/>
      <c r="CY71" s="6"/>
      <c r="CZ71" s="6"/>
      <c r="DA71" s="6"/>
      <c r="DB71" s="6"/>
      <c r="DC71" s="6"/>
    </row>
    <row r="72" spans="1:10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6"/>
      <c r="CV72" s="6"/>
      <c r="CW72" s="6"/>
      <c r="CX72" s="6"/>
      <c r="CY72" s="6"/>
      <c r="CZ72" s="6"/>
      <c r="DA72" s="6"/>
      <c r="DB72" s="6"/>
      <c r="DC72" s="6"/>
    </row>
    <row r="73" spans="1:10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6"/>
      <c r="CV73" s="6"/>
      <c r="CW73" s="6"/>
      <c r="CX73" s="6"/>
      <c r="CY73" s="6"/>
      <c r="CZ73" s="6"/>
      <c r="DA73" s="6"/>
      <c r="DB73" s="6"/>
      <c r="DC73" s="6"/>
    </row>
    <row r="74" spans="1:10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6"/>
      <c r="CV74" s="6"/>
      <c r="CW74" s="6"/>
      <c r="CX74" s="6"/>
      <c r="CY74" s="6"/>
      <c r="CZ74" s="6"/>
      <c r="DA74" s="6"/>
      <c r="DB74" s="6"/>
      <c r="DC74" s="6"/>
    </row>
    <row r="75" spans="1:10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6"/>
      <c r="CV75" s="6"/>
      <c r="CW75" s="6"/>
      <c r="CX75" s="6"/>
      <c r="CY75" s="6"/>
      <c r="CZ75" s="6"/>
      <c r="DA75" s="6"/>
      <c r="DB75" s="6"/>
      <c r="DC75" s="6"/>
    </row>
    <row r="76" spans="1:10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6"/>
      <c r="CV76" s="6"/>
      <c r="CW76" s="6"/>
      <c r="CX76" s="6"/>
      <c r="CY76" s="6"/>
      <c r="CZ76" s="6"/>
      <c r="DA76" s="6"/>
      <c r="DB76" s="6"/>
      <c r="DC76" s="6"/>
    </row>
    <row r="77" spans="1:10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6"/>
      <c r="CV77" s="6"/>
      <c r="CW77" s="6"/>
      <c r="CX77" s="6"/>
      <c r="CY77" s="6"/>
      <c r="CZ77" s="6"/>
      <c r="DA77" s="6"/>
      <c r="DB77" s="6"/>
      <c r="DC77" s="6"/>
    </row>
    <row r="78" spans="1:10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6"/>
      <c r="CV78" s="6"/>
      <c r="CW78" s="6"/>
      <c r="CX78" s="6"/>
      <c r="CY78" s="6"/>
      <c r="CZ78" s="6"/>
      <c r="DA78" s="6"/>
      <c r="DB78" s="6"/>
      <c r="DC78" s="6"/>
    </row>
    <row r="79" spans="1:10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6"/>
      <c r="CV79" s="6"/>
      <c r="CW79" s="6"/>
      <c r="CX79" s="6"/>
      <c r="CY79" s="6"/>
      <c r="CZ79" s="6"/>
      <c r="DA79" s="6"/>
      <c r="DB79" s="6"/>
      <c r="DC79" s="6"/>
    </row>
    <row r="80" spans="1:10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6"/>
      <c r="CV80" s="6"/>
      <c r="CW80" s="6"/>
      <c r="CX80" s="6"/>
      <c r="CY80" s="6"/>
      <c r="CZ80" s="6"/>
      <c r="DA80" s="6"/>
      <c r="DB80" s="6"/>
      <c r="DC80" s="6"/>
    </row>
    <row r="81" spans="1:10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6"/>
      <c r="CV81" s="6"/>
      <c r="CW81" s="6"/>
      <c r="CX81" s="6"/>
      <c r="CY81" s="6"/>
      <c r="CZ81" s="6"/>
      <c r="DA81" s="6"/>
      <c r="DB81" s="6"/>
      <c r="DC81" s="6"/>
    </row>
    <row r="82" spans="1:10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6"/>
      <c r="CV82" s="6"/>
      <c r="CW82" s="6"/>
      <c r="CX82" s="6"/>
      <c r="CY82" s="6"/>
      <c r="CZ82" s="6"/>
      <c r="DA82" s="6"/>
      <c r="DB82" s="6"/>
      <c r="DC82" s="6"/>
    </row>
    <row r="83" spans="1:10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6"/>
      <c r="CV83" s="6"/>
      <c r="CW83" s="6"/>
      <c r="CX83" s="6"/>
      <c r="CY83" s="6"/>
      <c r="CZ83" s="6"/>
      <c r="DA83" s="6"/>
      <c r="DB83" s="6"/>
      <c r="DC83" s="6"/>
    </row>
    <row r="84" spans="1:10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6"/>
      <c r="CV84" s="6"/>
      <c r="CW84" s="6"/>
      <c r="CX84" s="6"/>
      <c r="CY84" s="6"/>
      <c r="CZ84" s="6"/>
      <c r="DA84" s="6"/>
      <c r="DB84" s="6"/>
      <c r="DC84" s="6"/>
    </row>
    <row r="85" spans="1:10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6"/>
      <c r="CV85" s="6"/>
      <c r="CW85" s="6"/>
      <c r="CX85" s="6"/>
      <c r="CY85" s="6"/>
      <c r="CZ85" s="6"/>
      <c r="DA85" s="6"/>
      <c r="DB85" s="6"/>
      <c r="DC85" s="6"/>
    </row>
    <row r="86" spans="1:10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6"/>
      <c r="CV86" s="6"/>
      <c r="CW86" s="6"/>
      <c r="CX86" s="6"/>
      <c r="CY86" s="6"/>
      <c r="CZ86" s="6"/>
      <c r="DA86" s="6"/>
      <c r="DB86" s="6"/>
      <c r="DC86" s="6"/>
    </row>
    <row r="87" spans="1:10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6"/>
      <c r="CV87" s="6"/>
      <c r="CW87" s="6"/>
      <c r="CX87" s="6"/>
      <c r="CY87" s="6"/>
      <c r="CZ87" s="6"/>
      <c r="DA87" s="6"/>
      <c r="DB87" s="6"/>
      <c r="DC87" s="6"/>
    </row>
    <row r="88" spans="1:10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6"/>
      <c r="CV88" s="6"/>
      <c r="CW88" s="6"/>
      <c r="CX88" s="6"/>
      <c r="CY88" s="6"/>
      <c r="CZ88" s="6"/>
      <c r="DA88" s="6"/>
      <c r="DB88" s="6"/>
      <c r="DC88" s="6"/>
    </row>
    <row r="89" spans="1:10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6"/>
      <c r="CV89" s="6"/>
      <c r="CW89" s="6"/>
      <c r="CX89" s="6"/>
      <c r="CY89" s="6"/>
      <c r="CZ89" s="6"/>
      <c r="DA89" s="6"/>
      <c r="DB89" s="6"/>
      <c r="DC89" s="6"/>
    </row>
    <row r="90" spans="1:10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6"/>
      <c r="CV90" s="6"/>
      <c r="CW90" s="6"/>
      <c r="CX90" s="6"/>
      <c r="CY90" s="6"/>
      <c r="CZ90" s="6"/>
      <c r="DA90" s="6"/>
      <c r="DB90" s="6"/>
      <c r="DC90" s="6"/>
    </row>
    <row r="91" spans="1:10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6"/>
      <c r="CV91" s="6"/>
      <c r="CW91" s="6"/>
      <c r="CX91" s="6"/>
      <c r="CY91" s="6"/>
      <c r="CZ91" s="6"/>
      <c r="DA91" s="6"/>
      <c r="DB91" s="6"/>
      <c r="DC91" s="6"/>
    </row>
    <row r="92" spans="1:10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6"/>
      <c r="CV92" s="6"/>
      <c r="CW92" s="6"/>
      <c r="CX92" s="6"/>
      <c r="CY92" s="6"/>
      <c r="CZ92" s="6"/>
      <c r="DA92" s="6"/>
      <c r="DB92" s="6"/>
      <c r="DC92" s="6"/>
    </row>
    <row r="93" spans="1:10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6"/>
      <c r="CV93" s="6"/>
      <c r="CW93" s="6"/>
      <c r="CX93" s="6"/>
      <c r="CY93" s="6"/>
      <c r="CZ93" s="6"/>
      <c r="DA93" s="6"/>
      <c r="DB93" s="6"/>
      <c r="DC93" s="6"/>
    </row>
    <row r="94" spans="1:10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6"/>
      <c r="CV94" s="6"/>
      <c r="CW94" s="6"/>
      <c r="CX94" s="6"/>
      <c r="CY94" s="6"/>
      <c r="CZ94" s="6"/>
      <c r="DA94" s="6"/>
      <c r="DB94" s="6"/>
      <c r="DC94" s="6"/>
    </row>
    <row r="95" spans="1:10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6"/>
      <c r="CV95" s="6"/>
      <c r="CW95" s="6"/>
      <c r="CX95" s="6"/>
      <c r="CY95" s="6"/>
      <c r="CZ95" s="6"/>
      <c r="DA95" s="6"/>
      <c r="DB95" s="6"/>
      <c r="DC95" s="6"/>
    </row>
    <row r="96" spans="1:10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6"/>
      <c r="CV96" s="6"/>
      <c r="CW96" s="6"/>
      <c r="CX96" s="6"/>
      <c r="CY96" s="6"/>
      <c r="CZ96" s="6"/>
      <c r="DA96" s="6"/>
      <c r="DB96" s="6"/>
      <c r="DC96" s="6"/>
    </row>
    <row r="97" spans="1:10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6"/>
      <c r="CV97" s="6"/>
      <c r="CW97" s="6"/>
      <c r="CX97" s="6"/>
      <c r="CY97" s="6"/>
      <c r="CZ97" s="6"/>
      <c r="DA97" s="6"/>
      <c r="DB97" s="6"/>
      <c r="DC97" s="6"/>
    </row>
    <row r="98" spans="1:10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6"/>
      <c r="AN98" s="6"/>
      <c r="AO98" s="6"/>
      <c r="AP98" s="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6"/>
      <c r="CV98" s="6"/>
      <c r="CW98" s="6"/>
      <c r="CX98" s="6"/>
      <c r="CY98" s="6"/>
      <c r="CZ98" s="6"/>
      <c r="DA98" s="6"/>
      <c r="DB98" s="6"/>
      <c r="DC98" s="6"/>
    </row>
    <row r="99" spans="1:10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</row>
    <row r="100" spans="1:10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</row>
    <row r="101" spans="1:10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</row>
    <row r="102" spans="1:10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</row>
    <row r="103" spans="1:10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</row>
    <row r="104" spans="1:10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</row>
    <row r="105" spans="1:10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</row>
    <row r="106" spans="1:10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</row>
    <row r="107" spans="1:10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</row>
    <row r="108" spans="1:10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</row>
    <row r="109" spans="1:10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</row>
    <row r="110" spans="1:10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</row>
    <row r="111" spans="1:10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</row>
    <row r="112" spans="1:10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</row>
    <row r="113" spans="1:10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</row>
    <row r="114" spans="1:10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</row>
    <row r="115" spans="1:10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</row>
    <row r="116" spans="1:10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</row>
    <row r="117" spans="1:10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</row>
    <row r="118" spans="1:10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</row>
    <row r="119" spans="1:10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</row>
    <row r="120" spans="1:10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</row>
    <row r="121" spans="1:10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</row>
    <row r="122" spans="1:10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</row>
    <row r="123" spans="1:10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</row>
    <row r="124" spans="1:10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</row>
    <row r="125" spans="1:10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</row>
    <row r="126" spans="1:10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</row>
    <row r="127" spans="1:10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</row>
    <row r="128" spans="1:10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</row>
    <row r="129" spans="1:10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</row>
    <row r="130" spans="1:10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</row>
    <row r="131" spans="1:10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</row>
    <row r="132" spans="1:10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</row>
    <row r="133" spans="1:10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</row>
    <row r="134" spans="1:10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</row>
    <row r="135" spans="1:10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</row>
    <row r="136" spans="1:10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</row>
    <row r="137" spans="1:10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</row>
    <row r="138" spans="1:10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</row>
    <row r="139" spans="1:10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</row>
    <row r="140" spans="1:10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</row>
    <row r="141" spans="1:10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</row>
    <row r="142" spans="1:10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</row>
    <row r="143" spans="1:10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</row>
    <row r="144" spans="1:10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</row>
    <row r="145" spans="1:10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</row>
    <row r="146" spans="1:10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</row>
    <row r="147" spans="1:10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</row>
    <row r="148" spans="1:10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</row>
    <row r="149" spans="1:10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</row>
    <row r="150" spans="1:10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</row>
    <row r="151" spans="1:10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</row>
    <row r="152" spans="1:10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</row>
    <row r="153" spans="1:10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</row>
    <row r="154" spans="1:10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</row>
    <row r="155" spans="1:10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</row>
    <row r="156" spans="1:10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</row>
    <row r="157" spans="1:10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</row>
    <row r="158" spans="1:10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</row>
    <row r="159" spans="1:10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</row>
    <row r="160" spans="1:10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</row>
    <row r="161" spans="1:10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</row>
    <row r="162" spans="1:10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</row>
    <row r="163" spans="1:10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</row>
    <row r="164" spans="1:10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</row>
    <row r="165" spans="1:10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</row>
    <row r="166" spans="1:10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</row>
    <row r="167" spans="1:10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</row>
    <row r="168" spans="1:10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</row>
    <row r="169" spans="1:10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</row>
    <row r="170" spans="1:10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</row>
    <row r="171" spans="1:10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</row>
    <row r="172" spans="1:10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</row>
    <row r="173" spans="1:10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</row>
    <row r="174" spans="1:10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</row>
    <row r="175" spans="1:10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</row>
    <row r="176" spans="1:10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</row>
    <row r="177" spans="1:10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</row>
    <row r="178" spans="1:10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</row>
    <row r="179" spans="1:10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</row>
    <row r="180" spans="1:10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</row>
    <row r="181" spans="1:10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</row>
    <row r="182" spans="1:10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</row>
    <row r="183" spans="1:10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</row>
    <row r="184" spans="1:10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</row>
    <row r="185" spans="1:10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</row>
    <row r="186" spans="1:10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</row>
    <row r="187" spans="1:10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</row>
    <row r="188" spans="1:10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</row>
    <row r="189" spans="1:10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</row>
    <row r="190" spans="1:10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</row>
    <row r="191" spans="1:10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</row>
    <row r="192" spans="1:10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</row>
    <row r="193" spans="1:10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</row>
    <row r="194" spans="1:10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</row>
    <row r="195" spans="1:10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</row>
    <row r="196" spans="1:10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</row>
    <row r="197" spans="1:10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</row>
    <row r="198" spans="1:10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</row>
    <row r="199" spans="1:10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</row>
    <row r="200" spans="1:10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</row>
    <row r="201" spans="1:10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</row>
    <row r="202" spans="1:10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</row>
    <row r="203" spans="1:10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</row>
    <row r="204" spans="1:10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</row>
    <row r="205" spans="1:10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</row>
    <row r="206" spans="1:10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</row>
    <row r="207" spans="1:10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</row>
    <row r="208" spans="1:10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</row>
    <row r="209" spans="1:10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</row>
    <row r="210" spans="1:10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</row>
    <row r="211" spans="1:10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</row>
    <row r="212" spans="1:10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</row>
    <row r="213" spans="1:10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</row>
    <row r="214" spans="1:10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</row>
    <row r="215" spans="1:10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</row>
    <row r="216" spans="1:10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</row>
    <row r="217" spans="1:10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</row>
    <row r="218" spans="1:10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</row>
    <row r="219" spans="1:10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</row>
    <row r="220" spans="1:10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</row>
    <row r="221" spans="1:10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</row>
    <row r="222" spans="1:10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</row>
    <row r="223" spans="1:10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</row>
    <row r="224" spans="1:10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</row>
    <row r="225" spans="1:10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</row>
    <row r="226" spans="1:10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</row>
    <row r="227" spans="1:10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</row>
    <row r="228" spans="1:10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</row>
    <row r="229" spans="1:10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</row>
    <row r="230" spans="1:10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</row>
    <row r="231" spans="1:107" ht="14.25" customHeight="1" x14ac:dyDescent="0.2"/>
    <row r="232" spans="1:107" ht="14.25" customHeight="1" x14ac:dyDescent="0.2"/>
    <row r="233" spans="1:107" ht="14.25" customHeight="1" x14ac:dyDescent="0.2"/>
    <row r="234" spans="1:107" ht="14.25" customHeight="1" x14ac:dyDescent="0.2"/>
    <row r="235" spans="1:107" ht="14.25" customHeight="1" x14ac:dyDescent="0.2"/>
    <row r="236" spans="1:107" ht="14.25" customHeight="1" x14ac:dyDescent="0.2"/>
    <row r="237" spans="1:107" ht="14.25" customHeight="1" x14ac:dyDescent="0.2"/>
    <row r="238" spans="1:107" ht="14.25" customHeight="1" x14ac:dyDescent="0.2"/>
    <row r="239" spans="1:107" ht="14.25" customHeight="1" x14ac:dyDescent="0.2"/>
    <row r="240" spans="1:10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188">
    <mergeCell ref="CM29:CP29"/>
    <mergeCell ref="CQ29:CT29"/>
    <mergeCell ref="CU29:CX29"/>
    <mergeCell ref="CY29:DB29"/>
    <mergeCell ref="CU30:CX30"/>
    <mergeCell ref="CY30:DB30"/>
    <mergeCell ref="A29:B29"/>
    <mergeCell ref="C29:F29"/>
    <mergeCell ref="G29:J29"/>
    <mergeCell ref="K29:N29"/>
    <mergeCell ref="O29:R29"/>
    <mergeCell ref="S29:V29"/>
    <mergeCell ref="W29:Z29"/>
    <mergeCell ref="A30:B30"/>
    <mergeCell ref="C30:F30"/>
    <mergeCell ref="G30:J30"/>
    <mergeCell ref="K30:N30"/>
    <mergeCell ref="O30:R30"/>
    <mergeCell ref="S30:V30"/>
    <mergeCell ref="W30:Z30"/>
    <mergeCell ref="BC29:BF29"/>
    <mergeCell ref="BG29:BJ29"/>
    <mergeCell ref="BK29:BN29"/>
    <mergeCell ref="BO29:BR29"/>
    <mergeCell ref="AA29:AD29"/>
    <mergeCell ref="AE29:AH29"/>
    <mergeCell ref="AI29:AL29"/>
    <mergeCell ref="AM29:AP29"/>
    <mergeCell ref="AQ29:AT29"/>
    <mergeCell ref="AU29:AX29"/>
    <mergeCell ref="AY29:BB29"/>
    <mergeCell ref="CE29:CH29"/>
    <mergeCell ref="CI29:CL29"/>
    <mergeCell ref="BS29:BV29"/>
    <mergeCell ref="BW29:BZ29"/>
    <mergeCell ref="CA29:CD29"/>
    <mergeCell ref="BC28:BF28"/>
    <mergeCell ref="BG28:BJ28"/>
    <mergeCell ref="AA28:AD28"/>
    <mergeCell ref="AE28:AH28"/>
    <mergeCell ref="AI28:AL28"/>
    <mergeCell ref="AM28:AP28"/>
    <mergeCell ref="AQ28:AT28"/>
    <mergeCell ref="AU28:AX28"/>
    <mergeCell ref="AY28:BB28"/>
    <mergeCell ref="CM30:CP30"/>
    <mergeCell ref="CQ30:CT30"/>
    <mergeCell ref="BK30:BN30"/>
    <mergeCell ref="BO30:BR30"/>
    <mergeCell ref="BS30:BV30"/>
    <mergeCell ref="BW30:BZ30"/>
    <mergeCell ref="CA30:CD30"/>
    <mergeCell ref="CE30:CH30"/>
    <mergeCell ref="CI30:CL30"/>
    <mergeCell ref="BC30:BF30"/>
    <mergeCell ref="BG30:BJ30"/>
    <mergeCell ref="AA30:AD30"/>
    <mergeCell ref="AE30:AH30"/>
    <mergeCell ref="AI30:AL30"/>
    <mergeCell ref="AM30:AP30"/>
    <mergeCell ref="AQ30:AT30"/>
    <mergeCell ref="AU30:AX30"/>
    <mergeCell ref="AY30:BB30"/>
    <mergeCell ref="CM27:CP27"/>
    <mergeCell ref="CQ27:CT27"/>
    <mergeCell ref="CU27:CX27"/>
    <mergeCell ref="CY27:DB27"/>
    <mergeCell ref="CU28:CX28"/>
    <mergeCell ref="CY28:DB28"/>
    <mergeCell ref="A27:B27"/>
    <mergeCell ref="C27:F27"/>
    <mergeCell ref="G27:J27"/>
    <mergeCell ref="K27:N27"/>
    <mergeCell ref="O27:R27"/>
    <mergeCell ref="S27:V27"/>
    <mergeCell ref="W27:Z27"/>
    <mergeCell ref="A28:B28"/>
    <mergeCell ref="C28:F28"/>
    <mergeCell ref="G28:J28"/>
    <mergeCell ref="K28:N28"/>
    <mergeCell ref="O28:R28"/>
    <mergeCell ref="S28:V28"/>
    <mergeCell ref="W28:Z28"/>
    <mergeCell ref="BC27:BF27"/>
    <mergeCell ref="BG27:BJ27"/>
    <mergeCell ref="BK27:BN27"/>
    <mergeCell ref="BO27:BR27"/>
    <mergeCell ref="AA27:AD27"/>
    <mergeCell ref="AE27:AH27"/>
    <mergeCell ref="AI27:AL27"/>
    <mergeCell ref="AM27:AP27"/>
    <mergeCell ref="AQ27:AT27"/>
    <mergeCell ref="AU27:AX27"/>
    <mergeCell ref="AY27:BB27"/>
    <mergeCell ref="CE27:CH27"/>
    <mergeCell ref="CI27:CL27"/>
    <mergeCell ref="BS27:BV27"/>
    <mergeCell ref="BW27:BZ27"/>
    <mergeCell ref="CA27:CD27"/>
    <mergeCell ref="CM28:CP28"/>
    <mergeCell ref="CQ28:CT28"/>
    <mergeCell ref="BK28:BN28"/>
    <mergeCell ref="BO28:BR28"/>
    <mergeCell ref="BS28:BV28"/>
    <mergeCell ref="BW28:BZ28"/>
    <mergeCell ref="CA28:CD28"/>
    <mergeCell ref="CE28:CH28"/>
    <mergeCell ref="CI28:CL28"/>
    <mergeCell ref="CU26:CX26"/>
    <mergeCell ref="CY26:DB26"/>
    <mergeCell ref="A26:B26"/>
    <mergeCell ref="C26:F26"/>
    <mergeCell ref="G26:J26"/>
    <mergeCell ref="K26:N26"/>
    <mergeCell ref="O26:R26"/>
    <mergeCell ref="S26:V26"/>
    <mergeCell ref="W26:Z26"/>
    <mergeCell ref="BC26:BF26"/>
    <mergeCell ref="BG26:BJ26"/>
    <mergeCell ref="AA26:AD26"/>
    <mergeCell ref="AE26:AH26"/>
    <mergeCell ref="AI26:AL26"/>
    <mergeCell ref="AM26:AP26"/>
    <mergeCell ref="AQ26:AT26"/>
    <mergeCell ref="AU26:AX26"/>
    <mergeCell ref="AY26:BB26"/>
    <mergeCell ref="CM26:CP26"/>
    <mergeCell ref="CQ26:CT26"/>
    <mergeCell ref="BK26:BN26"/>
    <mergeCell ref="BO26:BR26"/>
    <mergeCell ref="BS26:BV26"/>
    <mergeCell ref="BW26:BZ26"/>
    <mergeCell ref="CU7:CV7"/>
    <mergeCell ref="CW7:CX7"/>
    <mergeCell ref="CY7:CZ7"/>
    <mergeCell ref="DA7:DB7"/>
    <mergeCell ref="CG7:CH7"/>
    <mergeCell ref="CI7:CJ7"/>
    <mergeCell ref="CK7:CL7"/>
    <mergeCell ref="CM7:CN7"/>
    <mergeCell ref="CO7:CP7"/>
    <mergeCell ref="CQ7:CR7"/>
    <mergeCell ref="CS7:CT7"/>
    <mergeCell ref="CI26:CL26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AS7:AT7"/>
    <mergeCell ref="AU7:AV7"/>
    <mergeCell ref="AW7:AX7"/>
    <mergeCell ref="AY7:AZ7"/>
    <mergeCell ref="BA7:BB7"/>
    <mergeCell ref="BC7:BD7"/>
    <mergeCell ref="BE7:BF7"/>
    <mergeCell ref="BG7:BH7"/>
    <mergeCell ref="A7:B7"/>
    <mergeCell ref="C7:D7"/>
    <mergeCell ref="E7:F7"/>
    <mergeCell ref="G7:H7"/>
    <mergeCell ref="I7:J7"/>
    <mergeCell ref="K7:L7"/>
    <mergeCell ref="M7:N7"/>
    <mergeCell ref="CA26:CD26"/>
    <mergeCell ref="CE26:CH26"/>
    <mergeCell ref="BI7:BJ7"/>
    <mergeCell ref="BK7:BL7"/>
    <mergeCell ref="BM7:BN7"/>
    <mergeCell ref="BO7:BP7"/>
    <mergeCell ref="BQ7:BR7"/>
    <mergeCell ref="BS7:BT7"/>
    <mergeCell ref="BU7:BV7"/>
    <mergeCell ref="BW7:BX7"/>
    <mergeCell ref="BY7:BZ7"/>
    <mergeCell ref="CA7:CB7"/>
    <mergeCell ref="CC7:CD7"/>
    <mergeCell ref="CE7:CF7"/>
  </mergeCells>
  <pageMargins left="0.7" right="0.7" top="1.9312499999999999" bottom="1.9312499999999999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SUMMARY_-_GCM</vt:lpstr>
      <vt:lpstr>BUUG</vt:lpstr>
      <vt:lpstr>PAGADIAN</vt:lpstr>
      <vt:lpstr>TANGUB</vt:lpstr>
      <vt:lpstr>OROQUIETA</vt:lpstr>
      <vt:lpstr>IPIL</vt:lpstr>
      <vt:lpstr>ZAMBOANGA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Suson</cp:lastModifiedBy>
  <dcterms:created xsi:type="dcterms:W3CDTF">2026-06-29T02:20:44Z</dcterms:created>
  <dcterms:modified xsi:type="dcterms:W3CDTF">2026-10-16T01:13:46Z</dcterms:modified>
</cp:coreProperties>
</file>