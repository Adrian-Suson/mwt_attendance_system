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1508d90c670b4b7d/Documents/Project/Attendance_system/Frontend/public/"/>
    </mc:Choice>
  </mc:AlternateContent>
  <xr:revisionPtr revIDLastSave="99" documentId="11_A2210EE81FBA9EEB86582F3C11C02F0C9AA4E39A" xr6:coauthVersionLast="47" xr6:coauthVersionMax="47" xr10:uidLastSave="{59DB3133-7FCF-4892-B529-FD8F7BEE8C67}"/>
  <bookViews>
    <workbookView xWindow="-120" yWindow="-120" windowWidth="29040" windowHeight="15720" xr2:uid="{00000000-000D-0000-FFFF-FFFF00000000}"/>
  </bookViews>
  <sheets>
    <sheet name="SUMMARY_-_GCM" sheetId="1" r:id="rId1"/>
    <sheet name="BUUG" sheetId="2" r:id="rId2"/>
    <sheet name="PAGADIAN" sheetId="3" r:id="rId3"/>
    <sheet name="TANGUB" sheetId="4" r:id="rId4"/>
    <sheet name="OROQUIETA" sheetId="5" r:id="rId5"/>
    <sheet name="IPIL" sheetId="6" r:id="rId6"/>
    <sheet name="ZAMBOANGA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1" roundtripDataChecksum="wQz1N/4HzseFwOLK854vrgKT5udJDvHt3I8CnijReis="/>
    </ext>
  </extLst>
</workbook>
</file>

<file path=xl/calcChain.xml><?xml version="1.0" encoding="utf-8"?>
<calcChain xmlns="http://schemas.openxmlformats.org/spreadsheetml/2006/main">
  <c r="AM26" i="3" l="1"/>
  <c r="AM27" i="3"/>
  <c r="AM28" i="3"/>
  <c r="AM29" i="3"/>
  <c r="AM30" i="3"/>
  <c r="E68" i="1"/>
  <c r="A8" i="4"/>
  <c r="CY30" i="7"/>
  <c r="L52" i="1" s="1"/>
  <c r="CU30" i="7"/>
  <c r="CQ30" i="7"/>
  <c r="CM30" i="7"/>
  <c r="L42" i="1" s="1"/>
  <c r="CI30" i="7"/>
  <c r="CE30" i="7"/>
  <c r="L46" i="1" s="1"/>
  <c r="CA30" i="7"/>
  <c r="BW30" i="7"/>
  <c r="BS30" i="7"/>
  <c r="BO30" i="7"/>
  <c r="BK30" i="7"/>
  <c r="BG30" i="7"/>
  <c r="BC30" i="7"/>
  <c r="L54" i="1" s="1"/>
  <c r="AY30" i="7"/>
  <c r="AU30" i="7"/>
  <c r="AQ30" i="7"/>
  <c r="L55" i="1" s="1"/>
  <c r="AM30" i="7"/>
  <c r="AI30" i="7"/>
  <c r="AE30" i="7"/>
  <c r="AA30" i="7"/>
  <c r="W30" i="7"/>
  <c r="S30" i="7"/>
  <c r="O30" i="7"/>
  <c r="K30" i="7"/>
  <c r="G30" i="7"/>
  <c r="C30" i="7"/>
  <c r="CY29" i="7"/>
  <c r="CU29" i="7"/>
  <c r="J35" i="1" s="1"/>
  <c r="CQ29" i="7"/>
  <c r="CM29" i="7"/>
  <c r="CI29" i="7"/>
  <c r="CE29" i="7"/>
  <c r="CA29" i="7"/>
  <c r="BW29" i="7"/>
  <c r="BS29" i="7"/>
  <c r="BO29" i="7"/>
  <c r="BK29" i="7"/>
  <c r="BG29" i="7"/>
  <c r="BC29" i="7"/>
  <c r="AY29" i="7"/>
  <c r="J33" i="1" s="1"/>
  <c r="AU29" i="7"/>
  <c r="AQ29" i="7"/>
  <c r="AM29" i="7"/>
  <c r="AI29" i="7"/>
  <c r="AE29" i="7"/>
  <c r="AA29" i="7"/>
  <c r="W29" i="7"/>
  <c r="S29" i="7"/>
  <c r="O29" i="7"/>
  <c r="K29" i="7"/>
  <c r="G29" i="7"/>
  <c r="C29" i="7"/>
  <c r="J9" i="1" s="1"/>
  <c r="CY28" i="7"/>
  <c r="CU28" i="7"/>
  <c r="CQ28" i="7"/>
  <c r="CM28" i="7"/>
  <c r="CI28" i="7"/>
  <c r="CE28" i="7"/>
  <c r="CA28" i="7"/>
  <c r="BW28" i="7"/>
  <c r="BS28" i="7"/>
  <c r="BO28" i="7"/>
  <c r="BK28" i="7"/>
  <c r="BG28" i="7"/>
  <c r="H26" i="1" s="1"/>
  <c r="BC28" i="7"/>
  <c r="AY28" i="7"/>
  <c r="AU28" i="7"/>
  <c r="AQ28" i="7"/>
  <c r="AM28" i="7"/>
  <c r="AI28" i="7"/>
  <c r="AE28" i="7"/>
  <c r="AA28" i="7"/>
  <c r="W28" i="7"/>
  <c r="H16" i="1" s="1"/>
  <c r="S28" i="7"/>
  <c r="O28" i="7"/>
  <c r="K28" i="7"/>
  <c r="H17" i="1" s="1"/>
  <c r="G28" i="7"/>
  <c r="C28" i="7"/>
  <c r="CY27" i="7"/>
  <c r="CU27" i="7"/>
  <c r="CQ27" i="7"/>
  <c r="CM27" i="7"/>
  <c r="CI27" i="7"/>
  <c r="CE27" i="7"/>
  <c r="CA27" i="7"/>
  <c r="BW27" i="7"/>
  <c r="BS27" i="7"/>
  <c r="BO27" i="7"/>
  <c r="N38" i="1" s="1"/>
  <c r="BK27" i="7"/>
  <c r="BG27" i="7"/>
  <c r="BC27" i="7"/>
  <c r="AY27" i="7"/>
  <c r="AU27" i="7"/>
  <c r="AQ27" i="7"/>
  <c r="AM27" i="7"/>
  <c r="AI27" i="7"/>
  <c r="AE27" i="7"/>
  <c r="AA27" i="7"/>
  <c r="W27" i="7"/>
  <c r="S27" i="7"/>
  <c r="N19" i="1" s="1"/>
  <c r="O27" i="7"/>
  <c r="K27" i="7"/>
  <c r="G27" i="7"/>
  <c r="C27" i="7"/>
  <c r="CY26" i="7"/>
  <c r="CU26" i="7"/>
  <c r="CQ26" i="7"/>
  <c r="CM26" i="7"/>
  <c r="CI26" i="7"/>
  <c r="CE26" i="7"/>
  <c r="E46" i="1" s="1"/>
  <c r="CA26" i="7"/>
  <c r="BW26" i="7"/>
  <c r="BS26" i="7"/>
  <c r="BO26" i="7"/>
  <c r="BK26" i="7"/>
  <c r="E57" i="1" s="1"/>
  <c r="BG26" i="7"/>
  <c r="BC26" i="7"/>
  <c r="AY26" i="7"/>
  <c r="AU26" i="7"/>
  <c r="AQ26" i="7"/>
  <c r="AM26" i="7"/>
  <c r="AI26" i="7"/>
  <c r="AE26" i="7"/>
  <c r="AA26" i="7"/>
  <c r="E15" i="1" s="1"/>
  <c r="W26" i="7"/>
  <c r="S26" i="7"/>
  <c r="O26" i="7"/>
  <c r="K26" i="7"/>
  <c r="G26" i="7"/>
  <c r="C26" i="7"/>
  <c r="A8" i="7"/>
  <c r="C4" i="7"/>
  <c r="AA30" i="6" a="1"/>
  <c r="AA30" i="6"/>
  <c r="W30" i="6" a="1"/>
  <c r="W30" i="6" s="1"/>
  <c r="L34" i="1" s="1"/>
  <c r="S30" i="6" a="1"/>
  <c r="S30" i="6"/>
  <c r="L25" i="1" s="1"/>
  <c r="O30" i="6" a="1"/>
  <c r="O30" i="6" s="1"/>
  <c r="L39" i="1" s="1"/>
  <c r="K30" i="6" a="1"/>
  <c r="K30" i="6"/>
  <c r="L29" i="1" s="1"/>
  <c r="G30" i="6" a="1"/>
  <c r="G30" i="6" s="1"/>
  <c r="L28" i="1" s="1"/>
  <c r="C30" i="6" a="1"/>
  <c r="C30" i="6" s="1"/>
  <c r="L13" i="1" s="1"/>
  <c r="AA29" i="6"/>
  <c r="J47" i="1" s="1"/>
  <c r="W29" i="6"/>
  <c r="S29" i="6"/>
  <c r="O29" i="6"/>
  <c r="K29" i="6"/>
  <c r="J29" i="1" s="1"/>
  <c r="G29" i="6"/>
  <c r="J28" i="1" s="1"/>
  <c r="C29" i="6"/>
  <c r="J13" i="1" s="1"/>
  <c r="AA28" i="6"/>
  <c r="W28" i="6"/>
  <c r="H34" i="1" s="1"/>
  <c r="S28" i="6"/>
  <c r="O28" i="6"/>
  <c r="K28" i="6"/>
  <c r="H29" i="1" s="1"/>
  <c r="G28" i="6"/>
  <c r="H28" i="1" s="1"/>
  <c r="C28" i="6"/>
  <c r="H13" i="1" s="1"/>
  <c r="AA27" i="6"/>
  <c r="W27" i="6"/>
  <c r="S27" i="6"/>
  <c r="N25" i="1" s="1"/>
  <c r="O27" i="6"/>
  <c r="N39" i="1" s="1"/>
  <c r="K27" i="6"/>
  <c r="N29" i="1" s="1"/>
  <c r="G27" i="6"/>
  <c r="N28" i="1" s="1"/>
  <c r="C27" i="6"/>
  <c r="N13" i="1" s="1"/>
  <c r="AA26" i="6"/>
  <c r="W26" i="6"/>
  <c r="S26" i="6"/>
  <c r="O26" i="6"/>
  <c r="E39" i="1" s="1"/>
  <c r="K26" i="6"/>
  <c r="E29" i="1" s="1"/>
  <c r="G26" i="6"/>
  <c r="C26" i="6"/>
  <c r="E13" i="1" s="1"/>
  <c r="A8" i="6"/>
  <c r="C4" i="6"/>
  <c r="W30" i="5" a="1"/>
  <c r="W30" i="5"/>
  <c r="S30" i="5" a="1"/>
  <c r="S30" i="5"/>
  <c r="L61" i="1" s="1"/>
  <c r="O30" i="5" a="1"/>
  <c r="O30" i="5"/>
  <c r="L41" i="1" s="1"/>
  <c r="K30" i="5" a="1"/>
  <c r="K30" i="5" s="1"/>
  <c r="L24" i="1" s="1"/>
  <c r="G30" i="5" a="1"/>
  <c r="G30" i="5"/>
  <c r="C30" i="5" a="1"/>
  <c r="C30" i="5" s="1"/>
  <c r="L11" i="1" s="1"/>
  <c r="W29" i="5"/>
  <c r="S29" i="5"/>
  <c r="O29" i="5"/>
  <c r="J41" i="1" s="1"/>
  <c r="K29" i="5"/>
  <c r="J24" i="1" s="1"/>
  <c r="G29" i="5"/>
  <c r="C29" i="5"/>
  <c r="J11" i="1" s="1"/>
  <c r="W28" i="5"/>
  <c r="H40" i="1" s="1"/>
  <c r="S28" i="5"/>
  <c r="O28" i="5"/>
  <c r="K28" i="5"/>
  <c r="H24" i="1" s="1"/>
  <c r="G28" i="5"/>
  <c r="H60" i="1" s="1"/>
  <c r="C28" i="5"/>
  <c r="W27" i="5"/>
  <c r="N40" i="1" s="1"/>
  <c r="S27" i="5"/>
  <c r="N61" i="1" s="1"/>
  <c r="O27" i="5"/>
  <c r="K27" i="5"/>
  <c r="N24" i="1" s="1"/>
  <c r="G27" i="5"/>
  <c r="C27" i="5"/>
  <c r="W26" i="5"/>
  <c r="E40" i="1" s="1"/>
  <c r="S26" i="5"/>
  <c r="O26" i="5"/>
  <c r="K26" i="5"/>
  <c r="E24" i="1" s="1"/>
  <c r="G26" i="5"/>
  <c r="E60" i="1" s="1"/>
  <c r="C26" i="5"/>
  <c r="A8" i="5"/>
  <c r="C4" i="5"/>
  <c r="S30" i="4"/>
  <c r="L30" i="1" s="1"/>
  <c r="O30" i="4"/>
  <c r="K30" i="4"/>
  <c r="G30" i="4"/>
  <c r="C30" i="4"/>
  <c r="L12" i="1" s="1"/>
  <c r="S29" i="4"/>
  <c r="J30" i="1" s="1"/>
  <c r="O29" i="4"/>
  <c r="K29" i="4"/>
  <c r="J23" i="1" s="1"/>
  <c r="G29" i="4"/>
  <c r="C29" i="4"/>
  <c r="S28" i="4"/>
  <c r="O28" i="4"/>
  <c r="K28" i="4"/>
  <c r="H23" i="1" s="1"/>
  <c r="G28" i="4"/>
  <c r="C28" i="4"/>
  <c r="H12" i="1" s="1"/>
  <c r="S27" i="4"/>
  <c r="O27" i="4"/>
  <c r="N56" i="1" s="1"/>
  <c r="K27" i="4"/>
  <c r="N23" i="1" s="1"/>
  <c r="G27" i="4"/>
  <c r="C27" i="4"/>
  <c r="N12" i="1" s="1"/>
  <c r="S26" i="4"/>
  <c r="O26" i="4"/>
  <c r="K26" i="4"/>
  <c r="G26" i="4"/>
  <c r="E27" i="1" s="1"/>
  <c r="C26" i="4"/>
  <c r="E12" i="1" s="1"/>
  <c r="C4" i="4"/>
  <c r="AI30" i="3"/>
  <c r="AE30" i="3"/>
  <c r="L21" i="1" s="1"/>
  <c r="AA30" i="3"/>
  <c r="W30" i="3"/>
  <c r="S30" i="3"/>
  <c r="L62" i="1" s="1"/>
  <c r="O30" i="3"/>
  <c r="K30" i="3"/>
  <c r="L32" i="1" s="1"/>
  <c r="G30" i="3"/>
  <c r="C30" i="3"/>
  <c r="AI29" i="3"/>
  <c r="AE29" i="3"/>
  <c r="AA29" i="3"/>
  <c r="W29" i="3"/>
  <c r="J59" i="1" s="1"/>
  <c r="S29" i="3"/>
  <c r="J62" i="1" s="1"/>
  <c r="O29" i="3"/>
  <c r="J68" i="1" s="1"/>
  <c r="K29" i="3"/>
  <c r="G29" i="3"/>
  <c r="J31" i="1" s="1"/>
  <c r="C29" i="3"/>
  <c r="J10" i="1" s="1"/>
  <c r="AI28" i="3"/>
  <c r="AE28" i="3"/>
  <c r="AA28" i="3"/>
  <c r="W28" i="3"/>
  <c r="H59" i="1" s="1"/>
  <c r="S28" i="3"/>
  <c r="O28" i="3"/>
  <c r="H68" i="1" s="1"/>
  <c r="K28" i="3"/>
  <c r="G28" i="3"/>
  <c r="H31" i="1" s="1"/>
  <c r="C28" i="3"/>
  <c r="AI27" i="3"/>
  <c r="AE27" i="3"/>
  <c r="N21" i="1" s="1"/>
  <c r="AA27" i="3"/>
  <c r="N20" i="1" s="1"/>
  <c r="W27" i="3"/>
  <c r="N59" i="1" s="1"/>
  <c r="S27" i="3"/>
  <c r="O27" i="3"/>
  <c r="K27" i="3"/>
  <c r="N32" i="1" s="1"/>
  <c r="G27" i="3"/>
  <c r="C27" i="3"/>
  <c r="AI26" i="3"/>
  <c r="E69" i="1" s="1"/>
  <c r="AE26" i="3"/>
  <c r="E21" i="1" s="1"/>
  <c r="AA26" i="3"/>
  <c r="W26" i="3"/>
  <c r="S26" i="3"/>
  <c r="O26" i="3"/>
  <c r="E59" i="1" s="1"/>
  <c r="K26" i="3"/>
  <c r="E32" i="1" s="1"/>
  <c r="G26" i="3"/>
  <c r="E31" i="1" s="1"/>
  <c r="C26" i="3"/>
  <c r="A8" i="3"/>
  <c r="C4" i="3"/>
  <c r="G30" i="2"/>
  <c r="C30" i="2"/>
  <c r="G29" i="2"/>
  <c r="C29" i="2"/>
  <c r="J22" i="1" s="1"/>
  <c r="G28" i="2"/>
  <c r="C28" i="2"/>
  <c r="G27" i="2"/>
  <c r="N48" i="1" s="1"/>
  <c r="C27" i="2"/>
  <c r="G26" i="2"/>
  <c r="E48" i="1" s="1"/>
  <c r="C26" i="2"/>
  <c r="C4" i="2"/>
  <c r="J69" i="1"/>
  <c r="H69" i="1"/>
  <c r="N62" i="1"/>
  <c r="H62" i="1"/>
  <c r="E62" i="1"/>
  <c r="J61" i="1"/>
  <c r="H61" i="1"/>
  <c r="E61" i="1"/>
  <c r="N60" i="1"/>
  <c r="L60" i="1"/>
  <c r="J60" i="1"/>
  <c r="L59" i="1"/>
  <c r="N58" i="1"/>
  <c r="L58" i="1"/>
  <c r="J58" i="1"/>
  <c r="H58" i="1"/>
  <c r="E58" i="1"/>
  <c r="N57" i="1"/>
  <c r="L57" i="1"/>
  <c r="J57" i="1"/>
  <c r="H57" i="1"/>
  <c r="L56" i="1"/>
  <c r="J56" i="1"/>
  <c r="H56" i="1"/>
  <c r="E56" i="1"/>
  <c r="N55" i="1"/>
  <c r="J55" i="1"/>
  <c r="H55" i="1"/>
  <c r="E55" i="1"/>
  <c r="N54" i="1"/>
  <c r="J54" i="1"/>
  <c r="H54" i="1"/>
  <c r="E54" i="1"/>
  <c r="N53" i="1"/>
  <c r="L53" i="1"/>
  <c r="J53" i="1"/>
  <c r="H53" i="1"/>
  <c r="E53" i="1"/>
  <c r="N52" i="1"/>
  <c r="J52" i="1"/>
  <c r="H52" i="1"/>
  <c r="E52" i="1"/>
  <c r="N51" i="1"/>
  <c r="L51" i="1"/>
  <c r="J51" i="1"/>
  <c r="H51" i="1"/>
  <c r="E51" i="1"/>
  <c r="N50" i="1"/>
  <c r="L50" i="1"/>
  <c r="J50" i="1"/>
  <c r="H50" i="1"/>
  <c r="E50" i="1"/>
  <c r="N49" i="1"/>
  <c r="L49" i="1"/>
  <c r="J49" i="1"/>
  <c r="H49" i="1"/>
  <c r="E49" i="1"/>
  <c r="L48" i="1"/>
  <c r="J48" i="1"/>
  <c r="H48" i="1"/>
  <c r="N47" i="1"/>
  <c r="L47" i="1"/>
  <c r="H47" i="1"/>
  <c r="E47" i="1"/>
  <c r="N46" i="1"/>
  <c r="J46" i="1"/>
  <c r="H46" i="1"/>
  <c r="N45" i="1"/>
  <c r="L45" i="1"/>
  <c r="J45" i="1"/>
  <c r="H45" i="1"/>
  <c r="E45" i="1"/>
  <c r="N44" i="1"/>
  <c r="L44" i="1"/>
  <c r="J44" i="1"/>
  <c r="H44" i="1"/>
  <c r="E44" i="1"/>
  <c r="N43" i="1"/>
  <c r="L43" i="1"/>
  <c r="J43" i="1"/>
  <c r="H43" i="1"/>
  <c r="E43" i="1"/>
  <c r="N42" i="1"/>
  <c r="J42" i="1"/>
  <c r="H42" i="1"/>
  <c r="E42" i="1"/>
  <c r="N41" i="1"/>
  <c r="H41" i="1"/>
  <c r="E41" i="1"/>
  <c r="L40" i="1"/>
  <c r="J40" i="1"/>
  <c r="J39" i="1"/>
  <c r="H39" i="1"/>
  <c r="L38" i="1"/>
  <c r="J38" i="1"/>
  <c r="H38" i="1"/>
  <c r="E38" i="1"/>
  <c r="N37" i="1"/>
  <c r="L37" i="1"/>
  <c r="J37" i="1"/>
  <c r="H37" i="1"/>
  <c r="E37" i="1"/>
  <c r="N36" i="1"/>
  <c r="L36" i="1"/>
  <c r="J36" i="1"/>
  <c r="H36" i="1"/>
  <c r="E36" i="1"/>
  <c r="N35" i="1"/>
  <c r="L35" i="1"/>
  <c r="H35" i="1"/>
  <c r="E35" i="1"/>
  <c r="N34" i="1"/>
  <c r="J34" i="1"/>
  <c r="E34" i="1"/>
  <c r="N33" i="1"/>
  <c r="L33" i="1"/>
  <c r="H33" i="1"/>
  <c r="E33" i="1"/>
  <c r="J32" i="1"/>
  <c r="H32" i="1"/>
  <c r="N31" i="1"/>
  <c r="L31" i="1"/>
  <c r="N30" i="1"/>
  <c r="H30" i="1"/>
  <c r="E30" i="1"/>
  <c r="E28" i="1"/>
  <c r="N27" i="1"/>
  <c r="L27" i="1"/>
  <c r="J27" i="1"/>
  <c r="H27" i="1"/>
  <c r="N26" i="1"/>
  <c r="L26" i="1"/>
  <c r="J26" i="1"/>
  <c r="E26" i="1"/>
  <c r="J25" i="1"/>
  <c r="H25" i="1"/>
  <c r="E25" i="1"/>
  <c r="L23" i="1"/>
  <c r="E23" i="1"/>
  <c r="N22" i="1"/>
  <c r="L22" i="1"/>
  <c r="H22" i="1"/>
  <c r="E22" i="1"/>
  <c r="J21" i="1"/>
  <c r="H21" i="1"/>
  <c r="L20" i="1"/>
  <c r="J20" i="1"/>
  <c r="H20" i="1"/>
  <c r="E20" i="1"/>
  <c r="L19" i="1"/>
  <c r="J19" i="1"/>
  <c r="H19" i="1"/>
  <c r="E19" i="1"/>
  <c r="N18" i="1"/>
  <c r="L18" i="1"/>
  <c r="J18" i="1"/>
  <c r="H18" i="1"/>
  <c r="E18" i="1"/>
  <c r="N17" i="1"/>
  <c r="L17" i="1"/>
  <c r="J17" i="1"/>
  <c r="E17" i="1"/>
  <c r="N16" i="1"/>
  <c r="L16" i="1"/>
  <c r="J16" i="1"/>
  <c r="E16" i="1"/>
  <c r="N15" i="1"/>
  <c r="L15" i="1"/>
  <c r="J15" i="1"/>
  <c r="H15" i="1"/>
  <c r="N14" i="1"/>
  <c r="L14" i="1"/>
  <c r="J14" i="1"/>
  <c r="H14" i="1"/>
  <c r="E14" i="1"/>
  <c r="J12" i="1"/>
  <c r="N11" i="1"/>
  <c r="H11" i="1"/>
  <c r="E11" i="1"/>
  <c r="N10" i="1"/>
  <c r="L10" i="1"/>
  <c r="H10" i="1"/>
  <c r="E10" i="1"/>
  <c r="N9" i="1"/>
  <c r="L9" i="1"/>
  <c r="H9" i="1"/>
  <c r="E9" i="1"/>
</calcChain>
</file>

<file path=xl/sharedStrings.xml><?xml version="1.0" encoding="utf-8"?>
<sst xmlns="http://schemas.openxmlformats.org/spreadsheetml/2006/main" count="726" uniqueCount="169">
  <si>
    <t>ATTENDANCE SUMMARY REPORT</t>
  </si>
  <si>
    <t>CHAPEL MANAGER  MANAGER</t>
  </si>
  <si>
    <t>CHAPEL MANAGER</t>
  </si>
  <si>
    <t>Carbonell, Divine Grace P.</t>
  </si>
  <si>
    <t>BARRICA JR., EDUARDO</t>
  </si>
  <si>
    <t>DIVINE GRACE P. CARBONELL</t>
  </si>
  <si>
    <t>(To be Accomplished by GCM)</t>
  </si>
  <si>
    <t>REGION</t>
  </si>
  <si>
    <t>MW1</t>
  </si>
  <si>
    <t>GROUP CHAPEL MANAGER</t>
  </si>
  <si>
    <t>CHAPEL</t>
  </si>
  <si>
    <t>BUUG</t>
  </si>
  <si>
    <t>PAMARAN, DENNIS</t>
  </si>
  <si>
    <t>DATE SUBMITTED</t>
  </si>
  <si>
    <t>PERIOD</t>
  </si>
  <si>
    <t>PAGADIAN</t>
  </si>
  <si>
    <t>PERIOD COVERED</t>
  </si>
  <si>
    <t>TANGUB</t>
  </si>
  <si>
    <t>October 1-15, 2026</t>
  </si>
  <si>
    <t>MW1 &amp; 2</t>
  </si>
  <si>
    <t>SEQ #</t>
  </si>
  <si>
    <t>EMPLOYEE NAME</t>
  </si>
  <si>
    <t>DESIGNATION</t>
  </si>
  <si>
    <t>TOTAL WORKING DAYS</t>
  </si>
  <si>
    <t>VL</t>
  </si>
  <si>
    <t>DATE</t>
  </si>
  <si>
    <t>SL</t>
  </si>
  <si>
    <t>RUBEN QUIPTE</t>
  </si>
  <si>
    <t>ML/PL*</t>
  </si>
  <si>
    <t>Shifting Schedule</t>
  </si>
  <si>
    <t>ABSENCES</t>
  </si>
  <si>
    <t>TARDINESS</t>
  </si>
  <si>
    <t>IAN MORANDARTE</t>
  </si>
  <si>
    <t>REMARKS</t>
  </si>
  <si>
    <t>DAY</t>
  </si>
  <si>
    <t>IN</t>
  </si>
  <si>
    <t>OUT</t>
  </si>
  <si>
    <t>SCHEDULE</t>
  </si>
  <si>
    <t># OF DAYS</t>
  </si>
  <si>
    <t># OF ABSENCES</t>
  </si>
  <si>
    <t># OF</t>
  </si>
  <si>
    <t>EDUARDO BARRICA</t>
  </si>
  <si>
    <t>DIVINE GRACE CARBONELL</t>
  </si>
  <si>
    <t>HRS/MIN</t>
  </si>
  <si>
    <t>ERNIE DICO</t>
  </si>
  <si>
    <t>JOEL PANTUJAN</t>
  </si>
  <si>
    <t>FREDE BERONDO</t>
  </si>
  <si>
    <t>DENNIS Q. PAMARAN</t>
  </si>
  <si>
    <t>GCM</t>
  </si>
  <si>
    <t>JULIETO QUINTANA</t>
  </si>
  <si>
    <t>MWT</t>
  </si>
  <si>
    <t>JASON DE ASIS</t>
  </si>
  <si>
    <t>REY-AN BALATERO</t>
  </si>
  <si>
    <t>8AM – 5PM</t>
  </si>
  <si>
    <t>JEFFREY OGOCIERDO</t>
  </si>
  <si>
    <t xml:space="preserve">  MICHAEL ARCH DANIEL</t>
  </si>
  <si>
    <t>DEAN VINCENT TAMPARONG</t>
  </si>
  <si>
    <t>KIESHA CHARISSE BELLOAN</t>
  </si>
  <si>
    <t>DANDY TARIMAN</t>
  </si>
  <si>
    <t>CM</t>
  </si>
  <si>
    <t>PAGADIAN/BUUG</t>
  </si>
  <si>
    <t>GILBERT DELA CRUZ</t>
  </si>
  <si>
    <t>Oroquieta</t>
  </si>
  <si>
    <t>EDUARDO BARICCA</t>
  </si>
  <si>
    <t>MARJORIE BAUTISTA</t>
  </si>
  <si>
    <t>IPIL</t>
  </si>
  <si>
    <t>EMMYLOU MARIANO</t>
  </si>
  <si>
    <t>ZAMBOANGA</t>
  </si>
  <si>
    <t>ADRIAN DR. SUSON</t>
  </si>
  <si>
    <t>GCM Staff</t>
  </si>
  <si>
    <t>WORKED DAYS</t>
  </si>
  <si>
    <t>LENIE MAY AUSEJO</t>
  </si>
  <si>
    <t>FCR</t>
  </si>
  <si>
    <t>weekly shifting</t>
  </si>
  <si>
    <t>SHEILA VILLANO</t>
  </si>
  <si>
    <t>ROWELL MENDIJA</t>
  </si>
  <si>
    <t>ML</t>
  </si>
  <si>
    <t>DANICA MAE LEDESMA</t>
  </si>
  <si>
    <t>Driver</t>
  </si>
  <si>
    <t>Buug</t>
  </si>
  <si>
    <t xml:space="preserve">JOEL PANTUJAN	</t>
  </si>
  <si>
    <t>JUSIL ANTIPUESTO</t>
  </si>
  <si>
    <t>CARY VILLANO</t>
  </si>
  <si>
    <t>Ipil</t>
  </si>
  <si>
    <t>GREGORIO MATIAS</t>
  </si>
  <si>
    <t>Embalmer</t>
  </si>
  <si>
    <t>DANIEL LAYOGUE</t>
  </si>
  <si>
    <t>GLESERIO PAQUIBO</t>
  </si>
  <si>
    <t>MICHAEL ARCH DANIEL</t>
  </si>
  <si>
    <t>ENGELINE MAE TRIBUNALO</t>
  </si>
  <si>
    <t>Attendant</t>
  </si>
  <si>
    <t>ROMEL MANUEL</t>
  </si>
  <si>
    <t>ROMANO CANTIGA</t>
  </si>
  <si>
    <t>JEFFREY DELOS REYES</t>
  </si>
  <si>
    <t>SUNNY CASTOR</t>
  </si>
  <si>
    <t>SANTIE ALFON</t>
  </si>
  <si>
    <t>JOEY DELA CRUZ</t>
  </si>
  <si>
    <t>Astt Embalmer</t>
  </si>
  <si>
    <t>LOLIBOY ALMEDA</t>
  </si>
  <si>
    <t>Attendant/Asst Embalmer</t>
  </si>
  <si>
    <t>JUVEN ANTIPUESTO</t>
  </si>
  <si>
    <t>HANZ CALAPIZ</t>
  </si>
  <si>
    <t>JERRY LLEDO</t>
  </si>
  <si>
    <t>Zamboanga</t>
  </si>
  <si>
    <t>JOVEN RENDON</t>
  </si>
  <si>
    <t>Driver/Asst Embalmer</t>
  </si>
  <si>
    <t>ELBERT JOHN FUTALAN</t>
  </si>
  <si>
    <t>Zambo</t>
  </si>
  <si>
    <t>RAMIL LIMEN</t>
  </si>
  <si>
    <t>RICHIE DELA CRUZ</t>
  </si>
  <si>
    <t>ROLANDO MINDANG</t>
  </si>
  <si>
    <t>Driver/Attendant</t>
  </si>
  <si>
    <t>ROLANDO SAGOSO</t>
  </si>
  <si>
    <t>ELMER MONTEVERDE</t>
  </si>
  <si>
    <t>EARL JOHN NAVARRO</t>
  </si>
  <si>
    <t>OLIVER SUNURAN</t>
  </si>
  <si>
    <t>ELVIN DAGALEA</t>
  </si>
  <si>
    <t>NELVIN DAGALEA</t>
  </si>
  <si>
    <t>ALBRICH ANDRADE</t>
  </si>
  <si>
    <t>JESUS DELOS REYES</t>
  </si>
  <si>
    <t>Driver/Embalmer</t>
  </si>
  <si>
    <t>JAY MATIAS</t>
  </si>
  <si>
    <t>EDDIE SONOGAN</t>
  </si>
  <si>
    <t># OF DAYS WORK</t>
  </si>
  <si>
    <t>HIRE DATE</t>
  </si>
  <si>
    <t>DRIVER</t>
  </si>
  <si>
    <t>RESIGNED EMPLOYEE/S  (Please attach copy of the resignation letter) OR END OF CONTRACT</t>
  </si>
  <si>
    <t>SEQ#</t>
  </si>
  <si>
    <t>NAME</t>
  </si>
  <si>
    <t>LAST DAY OF WORK (DATE)</t>
  </si>
  <si>
    <t>RESONS FOR LEAVING i.e. Studies. Health, Greener Pasture, Other Issues</t>
  </si>
  <si>
    <t>CERTIFIED CORRECT BY:</t>
  </si>
  <si>
    <t>Dennis Q. Pamaran</t>
  </si>
  <si>
    <t>prepared by: Adrian D.R Suson</t>
  </si>
  <si>
    <t xml:space="preserve">  </t>
  </si>
  <si>
    <t>TERRITORY/REGION: MINDANAO WESTERN TERRITORY</t>
  </si>
  <si>
    <t>GUIDELINES:</t>
  </si>
  <si>
    <t>1.  Indicate Company Name, Payroll Period Covered and Chapel/Life Plan Branch/Casket</t>
  </si>
  <si>
    <t>2.  Attach:  Vacation Leave (VL) , Sick Leave (SL) or Maternity Leave (ML). Indicate if entitled with pay/with leave credits or without pay/no leave credits  on the remarks column</t>
  </si>
  <si>
    <t>3.  For overtime work, submit overtime request form prior to the scheduled date/s of OT. Attach approved Overtime Request Form</t>
  </si>
  <si>
    <t>4. Indicate shifting schedule (Time and Dates), if applicable</t>
  </si>
  <si>
    <t>5. For TARDINESS/UNDERTIME:  should be in two (2) decimal places; for example: (a) 5 minutes tardy, should be encoded as ".05"</t>
  </si>
  <si>
    <t>(b) 1 hr &amp; 2 mins tardy, shld be encoded as "1.02"</t>
  </si>
  <si>
    <t>6.  Schedule date of payroll releases and submission date/s of the DTR summary:</t>
  </si>
  <si>
    <t>Paryoll Period Covered</t>
  </si>
  <si>
    <t>Pay Release date:</t>
  </si>
  <si>
    <t>Submission Date of DTR Summary</t>
  </si>
  <si>
    <t>1st half- 1-15</t>
  </si>
  <si>
    <t>20th</t>
  </si>
  <si>
    <t>16th of the current month</t>
  </si>
  <si>
    <t>2nd half- 16-30/31</t>
  </si>
  <si>
    <t>5th</t>
  </si>
  <si>
    <t>1st of the following month</t>
  </si>
  <si>
    <t>7.  The Chapel/Casket Manager will keep the employees' individual Daily Time Records (DTRs) in the branch file for reference.</t>
  </si>
  <si>
    <t>8. Individual Attendance Report (1-15 &amp; 16-30) to be accomplished by Chapel Manager / Casket Factory Manager / Branch Manager</t>
  </si>
  <si>
    <t>9. Attendance Summary Report - to be accomplished by GCM / CFM / RM</t>
  </si>
  <si>
    <t xml:space="preserve">    **GCM / RM/  GFM to collate all attendance/DTR reports from CM/BM/CFM; GCM/RM/GFM to prepare and submit the DTR summary to Asst Mgr, Ella De Leon and</t>
  </si>
  <si>
    <t>Copy Furnished: Marian Marfa, Supervisor</t>
  </si>
  <si>
    <t>NOTE: This file has been automated.</t>
  </si>
  <si>
    <t>Chapel sheets (BUUG, PAGADIAN, OROQUIETA, TANGUB, IPIL, ZAMBOANGA): WORKED HOURS, ABSENCES, VL, SL, and ML auto-calculate from IN/OUT times.</t>
  </si>
  <si>
    <t>SUMMARY: No OF ABSENCES, VL, SL, and ML auto-links from chapel sheets.</t>
  </si>
  <si>
    <t>Only edit the IN/OUT times. Do NOT delete formula cells in rows 26-32 of chapel sheets and columns H, J, L, N, P of this summary.</t>
  </si>
  <si>
    <t>HOLIDAY still needs manual entry.</t>
  </si>
  <si>
    <t>DELA CRUZ, GILBERT</t>
  </si>
  <si>
    <t>OROQUIETA</t>
  </si>
  <si>
    <t>MW2</t>
  </si>
  <si>
    <t>MARIANO, EMMYLOU</t>
  </si>
  <si>
    <t>#</t>
  </si>
  <si>
    <t>JHON TERRYS LADEZA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</si>
</sst>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mm\-dd\-yy"/>
    <numFmt numFmtId="165" formatCode="mmmm\ d&quot;, &quot;yyyy"/>
    <numFmt numFmtId="166" formatCode="hh\:mm"/>
    <numFmt numFmtId="167" formatCode="h&quot;:&quot;mm&quot; &quot;AM/PM"/>
    <numFmt numFmtId="168" formatCode="mmm\ dd"/>
    <numFmt numFmtId="169" formatCode="[$-3409]0"/>
    <numFmt numFmtId="170" formatCode="[$-3409]mmmm\ d&quot;, &quot;yyyy"/>
    <numFmt numFmtId="171" formatCode="hh\:mm\ AM/PM"/>
    <numFmt numFmtId="172" formatCode="[$-3409]mm/dd/yy"/>
    <numFmt numFmtId="173" formatCode="mm/dd/yy"/>
    <numFmt numFmtId="174" formatCode="hh\:mm\:ss\ AM/PM"/>
  </numFmts>
  <fonts count="34" x14ac:knownFonts="1">
    <font>
      <sz val="11"/>
      <color rgb="FF000000"/>
      <name val="Arial"/>
      <scheme val="minor"/>
    </font>
    <font>
      <b/>
      <sz val="8"/>
      <color rgb="FF000000"/>
      <name val="Calibri"/>
      <family val="2"/>
    </font>
    <font>
      <b/>
      <sz val="10"/>
      <color theme="1"/>
      <name val="Arial"/>
      <family val="2"/>
    </font>
    <font>
      <sz val="11"/>
      <color rgb="FF000000"/>
      <name val="Calibri"/>
      <family val="2"/>
    </font>
    <font>
      <b/>
      <sz val="9"/>
      <color rgb="FF000000"/>
      <name val="Calibri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1"/>
      <name val="Arial"/>
      <family val="2"/>
    </font>
    <font>
      <b/>
      <sz val="9"/>
      <color theme="1"/>
      <name val="Calibri"/>
      <family val="2"/>
    </font>
    <font>
      <sz val="9"/>
      <color rgb="FF000000"/>
      <name val="Calibri"/>
      <family val="2"/>
    </font>
    <font>
      <b/>
      <sz val="11"/>
      <color rgb="FFFF0000"/>
      <name val="Calibri"/>
      <family val="2"/>
    </font>
    <font>
      <b/>
      <sz val="11"/>
      <color theme="1"/>
      <name val="Calibri"/>
      <family val="2"/>
    </font>
    <font>
      <b/>
      <sz val="9"/>
      <color rgb="FF000000"/>
      <name val="Arial"/>
      <family val="2"/>
    </font>
    <font>
      <b/>
      <sz val="10"/>
      <color rgb="FFC00000"/>
      <name val="Arial"/>
      <family val="2"/>
    </font>
    <font>
      <b/>
      <sz val="8"/>
      <color rgb="FF000000"/>
      <name val="Arial"/>
      <family val="2"/>
    </font>
    <font>
      <b/>
      <sz val="10"/>
      <color rgb="FFFF0000"/>
      <name val="Calibri"/>
      <family val="2"/>
    </font>
    <font>
      <b/>
      <sz val="10"/>
      <color rgb="FF000000"/>
      <name val="Calibri"/>
      <family val="2"/>
    </font>
    <font>
      <b/>
      <sz val="10"/>
      <color rgb="FF000000"/>
      <name val="Arial"/>
      <family val="2"/>
    </font>
    <font>
      <sz val="9"/>
      <color theme="1"/>
      <name val="Calibri"/>
      <family val="2"/>
    </font>
    <font>
      <b/>
      <sz val="11"/>
      <color theme="1"/>
      <name val="Cambria"/>
      <family val="1"/>
    </font>
    <font>
      <sz val="10"/>
      <color rgb="FF000000"/>
      <name val="Calibri"/>
      <family val="2"/>
    </font>
    <font>
      <sz val="8"/>
      <color rgb="FF000000"/>
      <name val="Calibri"/>
      <family val="2"/>
    </font>
    <font>
      <b/>
      <sz val="10"/>
      <color rgb="FF993300"/>
      <name val="Arial"/>
      <family val="2"/>
    </font>
    <font>
      <sz val="10"/>
      <color rgb="FFFF0000"/>
      <name val="Arial"/>
      <family val="2"/>
    </font>
    <font>
      <b/>
      <sz val="10"/>
      <color rgb="FF0000FF"/>
      <name val="Arial"/>
      <family val="2"/>
    </font>
    <font>
      <sz val="10"/>
      <color rgb="FF0000FF"/>
      <name val="Arial"/>
      <family val="2"/>
    </font>
    <font>
      <b/>
      <sz val="10"/>
      <color rgb="FFFF0000"/>
      <name val="Arial"/>
      <family val="2"/>
    </font>
    <font>
      <b/>
      <sz val="9"/>
      <color rgb="FFFF3333"/>
      <name val="Calibri"/>
      <family val="2"/>
    </font>
    <font>
      <sz val="9"/>
      <color rgb="FF000000"/>
      <name val="Arial"/>
      <family val="2"/>
    </font>
    <font>
      <sz val="11"/>
      <color rgb="FF000000"/>
      <name val="Arial"/>
      <family val="2"/>
    </font>
    <font>
      <i/>
      <sz val="9"/>
      <color rgb="FF000000"/>
      <name val="Calibri"/>
      <family val="2"/>
    </font>
    <font>
      <b/>
      <sz val="11"/>
      <color rgb="FFFF0000"/>
      <name val="Calibri"/>
      <family val="2"/>
    </font>
    <font>
      <sz val="10"/>
      <color theme="1"/>
      <name val="Arial"/>
      <family val="2"/>
    </font>
    <font>
      <sz val="9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rgb="FF339966"/>
        <bgColor rgb="FF339966"/>
      </patternFill>
    </fill>
    <fill>
      <patternFill patternType="solid">
        <fgColor rgb="FF579D1C"/>
        <bgColor rgb="FF579D1C"/>
      </patternFill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  <fill>
      <patternFill patternType="solid">
        <fgColor rgb="FFFFCC99"/>
        <bgColor rgb="FFFFCC99"/>
      </patternFill>
    </fill>
    <fill>
      <patternFill patternType="solid">
        <fgColor rgb="FFFFD966"/>
        <bgColor rgb="FFFFD966"/>
      </patternFill>
    </fill>
    <fill>
      <patternFill patternType="solid">
        <fgColor rgb="FFFF8F8F"/>
        <bgColor rgb="FFFF8F8F"/>
      </patternFill>
    </fill>
    <fill>
      <patternFill patternType="solid">
        <fgColor rgb="FF83CBEB"/>
        <bgColor rgb="FF83CBEB"/>
      </patternFill>
    </fill>
    <fill>
      <patternFill patternType="solid">
        <fgColor rgb="FFC0C0C0"/>
        <bgColor rgb="FFC0C0C0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2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9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1" xfId="0" applyFont="1" applyBorder="1"/>
    <xf numFmtId="0" fontId="5" fillId="0" borderId="0" xfId="0" applyFont="1"/>
    <xf numFmtId="0" fontId="3" fillId="0" borderId="1" xfId="0" applyFont="1" applyBorder="1"/>
    <xf numFmtId="0" fontId="6" fillId="0" borderId="0" xfId="0" applyFont="1"/>
    <xf numFmtId="0" fontId="4" fillId="0" borderId="0" xfId="0" applyFont="1"/>
    <xf numFmtId="0" fontId="3" fillId="0" borderId="2" xfId="0" applyFont="1" applyBorder="1"/>
    <xf numFmtId="0" fontId="2" fillId="0" borderId="3" xfId="0" applyFont="1" applyBorder="1"/>
    <xf numFmtId="0" fontId="4" fillId="0" borderId="2" xfId="0" applyFont="1" applyBorder="1"/>
    <xf numFmtId="164" fontId="5" fillId="0" borderId="5" xfId="0" applyNumberFormat="1" applyFont="1" applyBorder="1"/>
    <xf numFmtId="0" fontId="5" fillId="0" borderId="2" xfId="0" applyFont="1" applyBorder="1"/>
    <xf numFmtId="165" fontId="3" fillId="0" borderId="2" xfId="0" applyNumberFormat="1" applyFont="1" applyBorder="1" applyAlignment="1">
      <alignment horizontal="left"/>
    </xf>
    <xf numFmtId="0" fontId="5" fillId="0" borderId="4" xfId="0" applyFont="1" applyBorder="1"/>
    <xf numFmtId="0" fontId="5" fillId="0" borderId="5" xfId="0" applyFont="1" applyBorder="1" applyAlignment="1">
      <alignment horizontal="center" wrapText="1"/>
    </xf>
    <xf numFmtId="165" fontId="3" fillId="0" borderId="2" xfId="0" applyNumberFormat="1" applyFont="1" applyBorder="1"/>
    <xf numFmtId="0" fontId="5" fillId="3" borderId="5" xfId="0" applyFont="1" applyFill="1" applyBorder="1"/>
    <xf numFmtId="166" fontId="9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10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11" fillId="7" borderId="5" xfId="0" applyFont="1" applyFill="1" applyBorder="1" applyAlignment="1">
      <alignment horizontal="center"/>
    </xf>
    <xf numFmtId="0" fontId="2" fillId="9" borderId="5" xfId="0" applyFont="1" applyFill="1" applyBorder="1" applyAlignment="1">
      <alignment horizontal="center"/>
    </xf>
    <xf numFmtId="0" fontId="9" fillId="0" borderId="0" xfId="0" applyFont="1"/>
    <xf numFmtId="0" fontId="2" fillId="9" borderId="11" xfId="0" applyFont="1" applyFill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13" fillId="0" borderId="5" xfId="0" applyFont="1" applyBorder="1"/>
    <xf numFmtId="0" fontId="5" fillId="0" borderId="5" xfId="0" applyFont="1" applyBorder="1"/>
    <xf numFmtId="3" fontId="5" fillId="0" borderId="5" xfId="0" applyNumberFormat="1" applyFont="1" applyBorder="1" applyAlignment="1">
      <alignment horizontal="center"/>
    </xf>
    <xf numFmtId="3" fontId="2" fillId="0" borderId="5" xfId="0" applyNumberFormat="1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16" fillId="0" borderId="5" xfId="0" applyFont="1" applyBorder="1" applyAlignment="1">
      <alignment horizontal="center"/>
    </xf>
    <xf numFmtId="169" fontId="2" fillId="0" borderId="10" xfId="0" applyNumberFormat="1" applyFont="1" applyBorder="1" applyAlignment="1">
      <alignment horizontal="center"/>
    </xf>
    <xf numFmtId="0" fontId="17" fillId="0" borderId="5" xfId="0" applyFont="1" applyBorder="1" applyAlignment="1">
      <alignment horizontal="center" vertical="center"/>
    </xf>
    <xf numFmtId="169" fontId="2" fillId="0" borderId="5" xfId="0" applyNumberFormat="1" applyFont="1" applyBorder="1" applyAlignment="1">
      <alignment horizontal="center"/>
    </xf>
    <xf numFmtId="0" fontId="4" fillId="0" borderId="12" xfId="0" applyFont="1" applyBorder="1"/>
    <xf numFmtId="0" fontId="5" fillId="0" borderId="10" xfId="0" applyFont="1" applyBorder="1"/>
    <xf numFmtId="3" fontId="5" fillId="0" borderId="10" xfId="0" applyNumberFormat="1" applyFont="1" applyBorder="1" applyAlignment="1">
      <alignment horizontal="center"/>
    </xf>
    <xf numFmtId="0" fontId="21" fillId="0" borderId="0" xfId="0" applyFont="1"/>
    <xf numFmtId="171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69" fontId="2" fillId="0" borderId="3" xfId="0" applyNumberFormat="1" applyFont="1" applyBorder="1" applyAlignment="1">
      <alignment horizontal="center"/>
    </xf>
    <xf numFmtId="18" fontId="9" fillId="0" borderId="0" xfId="0" applyNumberFormat="1" applyFont="1"/>
    <xf numFmtId="3" fontId="2" fillId="0" borderId="4" xfId="0" applyNumberFormat="1" applyFont="1" applyBorder="1" applyAlignment="1">
      <alignment horizontal="center"/>
    </xf>
    <xf numFmtId="3" fontId="2" fillId="0" borderId="2" xfId="0" applyNumberFormat="1" applyFont="1" applyBorder="1" applyAlignment="1">
      <alignment horizontal="center"/>
    </xf>
    <xf numFmtId="0" fontId="5" fillId="0" borderId="3" xfId="0" applyFont="1" applyBorder="1"/>
    <xf numFmtId="0" fontId="5" fillId="0" borderId="6" xfId="0" applyFont="1" applyBorder="1"/>
    <xf numFmtId="173" fontId="5" fillId="0" borderId="5" xfId="0" applyNumberFormat="1" applyFont="1" applyBorder="1"/>
    <xf numFmtId="0" fontId="23" fillId="0" borderId="5" xfId="0" applyFont="1" applyBorder="1"/>
    <xf numFmtId="0" fontId="23" fillId="0" borderId="5" xfId="0" applyFont="1" applyBorder="1" applyAlignment="1">
      <alignment horizontal="center"/>
    </xf>
    <xf numFmtId="3" fontId="23" fillId="0" borderId="5" xfId="0" applyNumberFormat="1" applyFont="1" applyBorder="1" applyAlignment="1">
      <alignment horizontal="right"/>
    </xf>
    <xf numFmtId="3" fontId="23" fillId="0" borderId="5" xfId="0" applyNumberFormat="1" applyFont="1" applyBorder="1" applyAlignment="1">
      <alignment horizontal="center"/>
    </xf>
    <xf numFmtId="14" fontId="23" fillId="0" borderId="5" xfId="0" applyNumberFormat="1" applyFont="1" applyBorder="1"/>
    <xf numFmtId="0" fontId="2" fillId="0" borderId="1" xfId="0" applyFont="1" applyBorder="1"/>
    <xf numFmtId="0" fontId="2" fillId="2" borderId="5" xfId="0" applyFont="1" applyFill="1" applyBorder="1" applyAlignment="1">
      <alignment horizontal="center"/>
    </xf>
    <xf numFmtId="0" fontId="2" fillId="0" borderId="0" xfId="0" applyFont="1"/>
    <xf numFmtId="0" fontId="24" fillId="0" borderId="0" xfId="0" applyFont="1"/>
    <xf numFmtId="0" fontId="5" fillId="0" borderId="9" xfId="0" applyFont="1" applyBorder="1"/>
    <xf numFmtId="0" fontId="25" fillId="0" borderId="0" xfId="0" applyFont="1"/>
    <xf numFmtId="0" fontId="23" fillId="0" borderId="0" xfId="0" applyFont="1"/>
    <xf numFmtId="0" fontId="26" fillId="0" borderId="0" xfId="0" applyFont="1"/>
    <xf numFmtId="0" fontId="28" fillId="0" borderId="6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174" fontId="9" fillId="0" borderId="0" xfId="0" applyNumberFormat="1" applyFont="1"/>
    <xf numFmtId="0" fontId="20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71" fontId="30" fillId="0" borderId="0" xfId="0" applyNumberFormat="1" applyFont="1" applyAlignment="1">
      <alignment horizontal="center"/>
    </xf>
    <xf numFmtId="171" fontId="27" fillId="0" borderId="0" xfId="0" applyNumberFormat="1" applyFont="1" applyAlignment="1">
      <alignment horizontal="center"/>
    </xf>
    <xf numFmtId="171" fontId="4" fillId="0" borderId="0" xfId="0" applyNumberFormat="1" applyFont="1" applyAlignment="1">
      <alignment horizontal="center"/>
    </xf>
    <xf numFmtId="0" fontId="31" fillId="0" borderId="5" xfId="0" applyFont="1" applyBorder="1" applyAlignment="1">
      <alignment horizontal="center"/>
    </xf>
    <xf numFmtId="0" fontId="32" fillId="0" borderId="5" xfId="0" applyFont="1" applyBorder="1"/>
    <xf numFmtId="168" fontId="32" fillId="0" borderId="10" xfId="0" applyNumberFormat="1" applyFont="1" applyBorder="1"/>
    <xf numFmtId="168" fontId="32" fillId="0" borderId="5" xfId="0" applyNumberFormat="1" applyFont="1" applyBorder="1"/>
    <xf numFmtId="168" fontId="32" fillId="0" borderId="5" xfId="0" applyNumberFormat="1" applyFont="1" applyBorder="1" applyAlignment="1">
      <alignment horizontal="center"/>
    </xf>
    <xf numFmtId="169" fontId="32" fillId="0" borderId="5" xfId="0" applyNumberFormat="1" applyFont="1" applyBorder="1"/>
    <xf numFmtId="168" fontId="32" fillId="0" borderId="6" xfId="0" applyNumberFormat="1" applyFont="1" applyBorder="1"/>
    <xf numFmtId="169" fontId="32" fillId="0" borderId="5" xfId="0" applyNumberFormat="1" applyFont="1" applyBorder="1" applyAlignment="1">
      <alignment horizontal="center"/>
    </xf>
    <xf numFmtId="170" fontId="32" fillId="0" borderId="10" xfId="0" applyNumberFormat="1" applyFont="1" applyBorder="1"/>
    <xf numFmtId="170" fontId="32" fillId="0" borderId="5" xfId="0" applyNumberFormat="1" applyFont="1" applyBorder="1"/>
    <xf numFmtId="165" fontId="32" fillId="0" borderId="5" xfId="0" applyNumberFormat="1" applyFont="1" applyBorder="1"/>
    <xf numFmtId="170" fontId="32" fillId="0" borderId="4" xfId="0" applyNumberFormat="1" applyFont="1" applyBorder="1"/>
    <xf numFmtId="172" fontId="32" fillId="0" borderId="5" xfId="0" applyNumberFormat="1" applyFont="1" applyBorder="1"/>
    <xf numFmtId="170" fontId="32" fillId="0" borderId="5" xfId="0" applyNumberFormat="1" applyFont="1" applyBorder="1" applyAlignment="1">
      <alignment horizontal="center"/>
    </xf>
    <xf numFmtId="173" fontId="32" fillId="0" borderId="5" xfId="0" applyNumberFormat="1" applyFont="1" applyBorder="1"/>
    <xf numFmtId="167" fontId="33" fillId="0" borderId="5" xfId="0" applyNumberFormat="1" applyFont="1" applyBorder="1" applyAlignment="1">
      <alignment horizontal="center"/>
    </xf>
    <xf numFmtId="167" fontId="33" fillId="0" borderId="5" xfId="0" applyNumberFormat="1" applyFont="1" applyBorder="1" applyAlignment="1">
      <alignment horizontal="center" wrapText="1"/>
    </xf>
    <xf numFmtId="18" fontId="33" fillId="0" borderId="5" xfId="0" applyNumberFormat="1" applyFont="1" applyBorder="1" applyAlignment="1">
      <alignment horizontal="center"/>
    </xf>
    <xf numFmtId="18" fontId="33" fillId="0" borderId="5" xfId="0" applyNumberFormat="1" applyFont="1" applyBorder="1" applyAlignment="1">
      <alignment horizontal="center" wrapText="1"/>
    </xf>
    <xf numFmtId="0" fontId="33" fillId="0" borderId="5" xfId="0" applyFont="1" applyBorder="1" applyAlignment="1">
      <alignment horizontal="center" wrapText="1"/>
    </xf>
    <xf numFmtId="20" fontId="33" fillId="0" borderId="5" xfId="0" applyNumberFormat="1" applyFont="1" applyBorder="1" applyAlignment="1">
      <alignment horizontal="center" wrapText="1"/>
    </xf>
    <xf numFmtId="0" fontId="33" fillId="0" borderId="5" xfId="0" applyFont="1" applyBorder="1" applyAlignment="1">
      <alignment horizontal="center"/>
    </xf>
    <xf numFmtId="167" fontId="33" fillId="11" borderId="5" xfId="0" applyNumberFormat="1" applyFont="1" applyFill="1" applyBorder="1" applyAlignment="1">
      <alignment horizontal="center"/>
    </xf>
    <xf numFmtId="0" fontId="33" fillId="12" borderId="5" xfId="0" applyFont="1" applyFill="1" applyBorder="1" applyAlignment="1">
      <alignment horizontal="center"/>
    </xf>
    <xf numFmtId="18" fontId="33" fillId="12" borderId="5" xfId="0" applyNumberFormat="1" applyFont="1" applyFill="1" applyBorder="1" applyAlignment="1">
      <alignment horizontal="center"/>
    </xf>
    <xf numFmtId="20" fontId="33" fillId="12" borderId="5" xfId="0" applyNumberFormat="1" applyFont="1" applyFill="1" applyBorder="1" applyAlignment="1">
      <alignment horizontal="center"/>
    </xf>
    <xf numFmtId="0" fontId="33" fillId="0" borderId="5" xfId="0" applyFont="1" applyBorder="1"/>
    <xf numFmtId="18" fontId="33" fillId="0" borderId="0" xfId="0" applyNumberFormat="1" applyFont="1" applyAlignment="1">
      <alignment horizontal="center"/>
    </xf>
    <xf numFmtId="20" fontId="33" fillId="0" borderId="5" xfId="0" applyNumberFormat="1" applyFont="1" applyBorder="1" applyAlignment="1">
      <alignment horizontal="center"/>
    </xf>
    <xf numFmtId="166" fontId="33" fillId="0" borderId="5" xfId="0" applyNumberFormat="1" applyFont="1" applyBorder="1" applyAlignment="1">
      <alignment horizontal="center"/>
    </xf>
    <xf numFmtId="171" fontId="33" fillId="0" borderId="5" xfId="0" applyNumberFormat="1" applyFont="1" applyBorder="1" applyAlignment="1">
      <alignment horizontal="center"/>
    </xf>
    <xf numFmtId="171" fontId="33" fillId="0" borderId="5" xfId="0" applyNumberFormat="1" applyFont="1" applyBorder="1" applyAlignment="1">
      <alignment horizontal="center" wrapText="1"/>
    </xf>
    <xf numFmtId="19" fontId="33" fillId="0" borderId="5" xfId="0" applyNumberFormat="1" applyFont="1" applyBorder="1" applyAlignment="1">
      <alignment horizontal="center" wrapText="1"/>
    </xf>
    <xf numFmtId="20" fontId="33" fillId="0" borderId="10" xfId="0" applyNumberFormat="1" applyFont="1" applyBorder="1" applyAlignment="1">
      <alignment horizontal="center" wrapText="1"/>
    </xf>
    <xf numFmtId="18" fontId="33" fillId="0" borderId="10" xfId="0" applyNumberFormat="1" applyFont="1" applyBorder="1" applyAlignment="1">
      <alignment horizontal="center" wrapText="1"/>
    </xf>
    <xf numFmtId="19" fontId="33" fillId="0" borderId="10" xfId="0" applyNumberFormat="1" applyFont="1" applyBorder="1" applyAlignment="1">
      <alignment horizontal="center" wrapText="1"/>
    </xf>
    <xf numFmtId="0" fontId="33" fillId="0" borderId="10" xfId="0" applyFont="1" applyBorder="1" applyAlignment="1">
      <alignment horizontal="center" wrapText="1"/>
    </xf>
    <xf numFmtId="0" fontId="33" fillId="0" borderId="3" xfId="0" applyFont="1" applyBorder="1" applyAlignment="1">
      <alignment horizontal="center"/>
    </xf>
    <xf numFmtId="0" fontId="33" fillId="0" borderId="19" xfId="0" applyFont="1" applyBorder="1"/>
    <xf numFmtId="0" fontId="33" fillId="12" borderId="2" xfId="0" applyFont="1" applyFill="1" applyBorder="1" applyAlignment="1">
      <alignment wrapText="1"/>
    </xf>
    <xf numFmtId="167" fontId="33" fillId="11" borderId="3" xfId="0" applyNumberFormat="1" applyFont="1" applyFill="1" applyBorder="1" applyAlignment="1">
      <alignment horizontal="center"/>
    </xf>
    <xf numFmtId="0" fontId="33" fillId="12" borderId="19" xfId="0" applyFont="1" applyFill="1" applyBorder="1" applyAlignment="1">
      <alignment wrapText="1"/>
    </xf>
    <xf numFmtId="167" fontId="33" fillId="11" borderId="4" xfId="0" applyNumberFormat="1" applyFont="1" applyFill="1" applyBorder="1" applyAlignment="1">
      <alignment horizontal="center"/>
    </xf>
    <xf numFmtId="18" fontId="33" fillId="12" borderId="5" xfId="0" applyNumberFormat="1" applyFont="1" applyFill="1" applyBorder="1" applyAlignment="1">
      <alignment horizontal="center" wrapText="1"/>
    </xf>
    <xf numFmtId="18" fontId="33" fillId="12" borderId="10" xfId="0" applyNumberFormat="1" applyFont="1" applyFill="1" applyBorder="1" applyAlignment="1">
      <alignment horizontal="center" wrapText="1"/>
    </xf>
    <xf numFmtId="0" fontId="33" fillId="11" borderId="5" xfId="0" applyFont="1" applyFill="1" applyBorder="1" applyAlignment="1">
      <alignment horizontal="center"/>
    </xf>
    <xf numFmtId="3" fontId="5" fillId="0" borderId="3" xfId="0" applyNumberFormat="1" applyFont="1" applyBorder="1" applyAlignment="1">
      <alignment horizontal="center"/>
    </xf>
    <xf numFmtId="0" fontId="7" fillId="0" borderId="2" xfId="0" applyFont="1" applyBorder="1"/>
    <xf numFmtId="0" fontId="7" fillId="0" borderId="4" xfId="0" applyFont="1" applyBorder="1"/>
    <xf numFmtId="0" fontId="2" fillId="0" borderId="3" xfId="0" applyFont="1" applyBorder="1"/>
    <xf numFmtId="3" fontId="5" fillId="0" borderId="2" xfId="0" applyNumberFormat="1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8" fillId="7" borderId="7" xfId="0" applyFont="1" applyFill="1" applyBorder="1" applyAlignment="1">
      <alignment horizontal="center"/>
    </xf>
    <xf numFmtId="0" fontId="7" fillId="0" borderId="8" xfId="0" applyFont="1" applyBorder="1"/>
    <xf numFmtId="0" fontId="4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/>
    </xf>
    <xf numFmtId="0" fontId="7" fillId="0" borderId="10" xfId="0" applyFont="1" applyBorder="1"/>
    <xf numFmtId="0" fontId="2" fillId="4" borderId="6" xfId="0" applyFont="1" applyFill="1" applyBorder="1" applyAlignment="1">
      <alignment horizontal="center" wrapText="1"/>
    </xf>
    <xf numFmtId="0" fontId="2" fillId="2" borderId="6" xfId="0" applyFont="1" applyFill="1" applyBorder="1" applyAlignment="1">
      <alignment horizontal="center" wrapText="1"/>
    </xf>
    <xf numFmtId="0" fontId="7" fillId="0" borderId="9" xfId="0" applyFont="1" applyBorder="1"/>
    <xf numFmtId="0" fontId="5" fillId="3" borderId="6" xfId="0" applyFont="1" applyFill="1" applyBorder="1"/>
    <xf numFmtId="0" fontId="2" fillId="9" borderId="3" xfId="0" applyFont="1" applyFill="1" applyBorder="1" applyAlignment="1">
      <alignment horizontal="center"/>
    </xf>
    <xf numFmtId="0" fontId="2" fillId="10" borderId="6" xfId="0" applyFont="1" applyFill="1" applyBorder="1" applyAlignment="1">
      <alignment horizontal="center" wrapText="1"/>
    </xf>
    <xf numFmtId="0" fontId="2" fillId="5" borderId="6" xfId="0" applyFont="1" applyFill="1" applyBorder="1" applyAlignment="1">
      <alignment horizontal="center" wrapText="1"/>
    </xf>
    <xf numFmtId="0" fontId="2" fillId="9" borderId="6" xfId="0" applyFont="1" applyFill="1" applyBorder="1" applyAlignment="1">
      <alignment horizontal="center" wrapText="1"/>
    </xf>
    <xf numFmtId="0" fontId="2" fillId="0" borderId="3" xfId="0" applyFont="1" applyBorder="1" applyAlignment="1">
      <alignment wrapText="1"/>
    </xf>
    <xf numFmtId="0" fontId="2" fillId="4" borderId="3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 wrapText="1"/>
    </xf>
    <xf numFmtId="0" fontId="2" fillId="8" borderId="6" xfId="0" applyFont="1" applyFill="1" applyBorder="1" applyAlignment="1">
      <alignment horizontal="center" wrapText="1"/>
    </xf>
    <xf numFmtId="0" fontId="2" fillId="5" borderId="3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8" borderId="3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/>
    <xf numFmtId="0" fontId="5" fillId="0" borderId="0" xfId="0" applyFont="1" applyAlignment="1">
      <alignment horizontal="center"/>
    </xf>
    <xf numFmtId="0" fontId="5" fillId="0" borderId="1" xfId="0" applyFont="1" applyBorder="1"/>
    <xf numFmtId="0" fontId="7" fillId="0" borderId="1" xfId="0" applyFont="1" applyBorder="1"/>
    <xf numFmtId="0" fontId="5" fillId="0" borderId="0" xfId="0" applyFont="1"/>
    <xf numFmtId="0" fontId="25" fillId="0" borderId="3" xfId="0" applyFont="1" applyBorder="1"/>
    <xf numFmtId="0" fontId="25" fillId="0" borderId="3" xfId="0" applyFont="1" applyBorder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3" xfId="0" applyFont="1" applyBorder="1" applyAlignment="1">
      <alignment horizontal="center"/>
    </xf>
    <xf numFmtId="0" fontId="5" fillId="0" borderId="3" xfId="0" applyFont="1" applyBorder="1"/>
    <xf numFmtId="0" fontId="22" fillId="10" borderId="13" xfId="0" applyFont="1" applyFill="1" applyBorder="1" applyAlignment="1">
      <alignment horizontal="center" wrapText="1"/>
    </xf>
    <xf numFmtId="0" fontId="7" fillId="0" borderId="14" xfId="0" applyFont="1" applyBorder="1"/>
    <xf numFmtId="0" fontId="7" fillId="0" borderId="15" xfId="0" applyFont="1" applyBorder="1"/>
    <xf numFmtId="0" fontId="7" fillId="0" borderId="16" xfId="0" applyFont="1" applyBorder="1"/>
    <xf numFmtId="0" fontId="7" fillId="0" borderId="17" xfId="0" applyFont="1" applyBorder="1"/>
    <xf numFmtId="0" fontId="7" fillId="0" borderId="12" xfId="0" applyFont="1" applyBorder="1"/>
    <xf numFmtId="0" fontId="7" fillId="0" borderId="18" xfId="0" applyFont="1" applyBorder="1"/>
    <xf numFmtId="0" fontId="2" fillId="0" borderId="1" xfId="0" applyFont="1" applyBorder="1"/>
    <xf numFmtId="0" fontId="2" fillId="2" borderId="3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 wrapText="1"/>
    </xf>
    <xf numFmtId="0" fontId="22" fillId="10" borderId="6" xfId="0" applyFont="1" applyFill="1" applyBorder="1" applyAlignment="1">
      <alignment horizontal="center" wrapText="1"/>
    </xf>
    <xf numFmtId="0" fontId="19" fillId="0" borderId="3" xfId="0" applyFont="1" applyBorder="1"/>
    <xf numFmtId="3" fontId="18" fillId="0" borderId="3" xfId="0" applyNumberFormat="1" applyFont="1" applyBorder="1" applyAlignment="1">
      <alignment horizontal="center"/>
    </xf>
    <xf numFmtId="0" fontId="8" fillId="0" borderId="3" xfId="0" applyFont="1" applyBorder="1"/>
    <xf numFmtId="3" fontId="18" fillId="0" borderId="2" xfId="0" applyNumberFormat="1" applyFont="1" applyBorder="1" applyAlignment="1">
      <alignment horizontal="center"/>
    </xf>
    <xf numFmtId="3" fontId="8" fillId="0" borderId="3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 wrapText="1"/>
    </xf>
    <xf numFmtId="0" fontId="14" fillId="0" borderId="3" xfId="0" applyFont="1" applyBorder="1" applyAlignment="1">
      <alignment horizontal="center" wrapText="1"/>
    </xf>
    <xf numFmtId="0" fontId="28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001"/>
  <sheetViews>
    <sheetView tabSelected="1" zoomScaleNormal="100" workbookViewId="0">
      <selection activeCell="B69" sqref="B69"/>
    </sheetView>
  </sheetViews>
  <sheetFormatPr defaultColWidth="12.625" defaultRowHeight="15" customHeight="1" x14ac:dyDescent="0.2"/>
  <cols>
    <col min="1" max="1" width="6.125" customWidth="1"/>
    <col min="2" max="2" width="27.125" customWidth="1"/>
    <col min="3" max="3" width="29.375" customWidth="1"/>
    <col min="4" max="4" width="15.5" customWidth="1"/>
    <col min="5" max="5" width="6.25" customWidth="1"/>
    <col min="6" max="7" width="18.875" customWidth="1"/>
    <col min="8" max="8" width="4.875" customWidth="1"/>
    <col min="9" max="9" width="16.25" customWidth="1"/>
    <col min="10" max="10" width="4.375" customWidth="1"/>
    <col min="11" max="11" width="10.875" customWidth="1"/>
    <col min="12" max="12" width="4.75" customWidth="1"/>
    <col min="13" max="13" width="26" customWidth="1"/>
    <col min="14" max="14" width="6.125" customWidth="1"/>
    <col min="15" max="15" width="23.75" customWidth="1"/>
    <col min="16" max="16" width="17.625" customWidth="1"/>
    <col min="17" max="17" width="20.5" customWidth="1"/>
    <col min="18" max="19" width="11.25" customWidth="1"/>
    <col min="20" max="37" width="13.875" customWidth="1"/>
  </cols>
  <sheetData>
    <row r="1" spans="1:37" ht="14.25" customHeight="1" x14ac:dyDescent="0.2">
      <c r="A1" s="148" t="s">
        <v>0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</row>
    <row r="2" spans="1:37" ht="14.25" customHeight="1" x14ac:dyDescent="0.2">
      <c r="A2" s="150" t="s">
        <v>6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P2" s="149"/>
      <c r="Q2" s="149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</row>
    <row r="3" spans="1:37" ht="14.25" customHeight="1" x14ac:dyDescent="0.2">
      <c r="A3" s="151"/>
      <c r="B3" s="152"/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2"/>
      <c r="O3" s="152"/>
      <c r="P3" s="152"/>
      <c r="Q3" s="152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</row>
    <row r="4" spans="1:37" ht="12.75" customHeight="1" x14ac:dyDescent="0.2">
      <c r="A4" s="124" t="s">
        <v>9</v>
      </c>
      <c r="B4" s="122"/>
      <c r="C4" s="123"/>
      <c r="D4" s="141" t="s">
        <v>12</v>
      </c>
      <c r="E4" s="122"/>
      <c r="F4" s="122"/>
      <c r="G4" s="122"/>
      <c r="H4" s="122"/>
      <c r="I4" s="122"/>
      <c r="J4" s="122"/>
      <c r="K4" s="122"/>
      <c r="L4" s="122"/>
      <c r="M4" s="123"/>
      <c r="N4" s="141" t="s">
        <v>13</v>
      </c>
      <c r="O4" s="122"/>
      <c r="P4" s="123"/>
      <c r="Q4" s="11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</row>
    <row r="5" spans="1:37" ht="12.75" customHeight="1" x14ac:dyDescent="0.2">
      <c r="A5" s="124" t="s">
        <v>16</v>
      </c>
      <c r="B5" s="122"/>
      <c r="C5" s="123"/>
      <c r="D5" s="9" t="s">
        <v>18</v>
      </c>
      <c r="E5" s="12"/>
      <c r="F5" s="12"/>
      <c r="G5" s="12"/>
      <c r="H5" s="12"/>
      <c r="I5" s="12"/>
      <c r="J5" s="12"/>
      <c r="K5" s="12"/>
      <c r="L5" s="12"/>
      <c r="M5" s="14"/>
      <c r="N5" s="141" t="s">
        <v>7</v>
      </c>
      <c r="O5" s="122"/>
      <c r="P5" s="123"/>
      <c r="Q5" s="15" t="s">
        <v>19</v>
      </c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</row>
    <row r="6" spans="1:37" ht="12.75" customHeight="1" x14ac:dyDescent="0.2">
      <c r="A6" s="134" t="s">
        <v>20</v>
      </c>
      <c r="B6" s="134" t="s">
        <v>21</v>
      </c>
      <c r="C6" s="134" t="s">
        <v>22</v>
      </c>
      <c r="D6" s="134" t="s">
        <v>10</v>
      </c>
      <c r="E6" s="134" t="s">
        <v>23</v>
      </c>
      <c r="F6" s="17"/>
      <c r="G6" s="142" t="s">
        <v>24</v>
      </c>
      <c r="H6" s="123"/>
      <c r="I6" s="145" t="s">
        <v>26</v>
      </c>
      <c r="J6" s="123"/>
      <c r="K6" s="146" t="s">
        <v>28</v>
      </c>
      <c r="L6" s="123"/>
      <c r="M6" s="147" t="s">
        <v>30</v>
      </c>
      <c r="N6" s="123"/>
      <c r="O6" s="137" t="s">
        <v>31</v>
      </c>
      <c r="P6" s="123"/>
      <c r="Q6" s="138" t="s">
        <v>33</v>
      </c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</row>
    <row r="7" spans="1:37" ht="12.75" customHeight="1" x14ac:dyDescent="0.2">
      <c r="A7" s="135"/>
      <c r="B7" s="135"/>
      <c r="C7" s="135"/>
      <c r="D7" s="135"/>
      <c r="E7" s="135"/>
      <c r="F7" s="131" t="s">
        <v>37</v>
      </c>
      <c r="G7" s="133" t="s">
        <v>25</v>
      </c>
      <c r="H7" s="133" t="s">
        <v>38</v>
      </c>
      <c r="I7" s="139" t="s">
        <v>25</v>
      </c>
      <c r="J7" s="139" t="s">
        <v>38</v>
      </c>
      <c r="K7" s="143" t="s">
        <v>25</v>
      </c>
      <c r="L7" s="143" t="s">
        <v>38</v>
      </c>
      <c r="M7" s="144" t="s">
        <v>25</v>
      </c>
      <c r="N7" s="144" t="s">
        <v>39</v>
      </c>
      <c r="O7" s="140" t="s">
        <v>25</v>
      </c>
      <c r="P7" s="23" t="s">
        <v>40</v>
      </c>
      <c r="Q7" s="135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</row>
    <row r="8" spans="1:37" ht="14.25" customHeight="1" x14ac:dyDescent="0.2">
      <c r="A8" s="132"/>
      <c r="B8" s="132"/>
      <c r="C8" s="132"/>
      <c r="D8" s="132"/>
      <c r="E8" s="132"/>
      <c r="F8" s="132"/>
      <c r="G8" s="132"/>
      <c r="H8" s="132"/>
      <c r="I8" s="132"/>
      <c r="J8" s="132"/>
      <c r="K8" s="132"/>
      <c r="L8" s="132"/>
      <c r="M8" s="132"/>
      <c r="N8" s="132"/>
      <c r="O8" s="132"/>
      <c r="P8" s="25" t="s">
        <v>43</v>
      </c>
      <c r="Q8" s="132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</row>
    <row r="9" spans="1:37" ht="14.25" customHeight="1" x14ac:dyDescent="0.2">
      <c r="A9" s="26">
        <v>1</v>
      </c>
      <c r="B9" s="27" t="s">
        <v>47</v>
      </c>
      <c r="C9" s="28" t="s">
        <v>48</v>
      </c>
      <c r="D9" s="28" t="s">
        <v>50</v>
      </c>
      <c r="E9" s="29">
        <f>ZAMBOANGA!C26</f>
        <v>0</v>
      </c>
      <c r="F9" s="26" t="s">
        <v>53</v>
      </c>
      <c r="G9" s="76"/>
      <c r="H9" s="30">
        <f>ZAMBOANGA!C28</f>
        <v>0</v>
      </c>
      <c r="I9" s="76"/>
      <c r="J9" s="30">
        <f>ZAMBOANGA!C29</f>
        <v>0</v>
      </c>
      <c r="K9" s="76"/>
      <c r="L9" s="30">
        <f>ZAMBOANGA!C30</f>
        <v>0</v>
      </c>
      <c r="M9" s="76"/>
      <c r="N9" s="30">
        <f>ZAMBOANGA!C27</f>
        <v>0</v>
      </c>
      <c r="O9" s="76"/>
      <c r="P9" s="76"/>
      <c r="Q9" s="76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</row>
    <row r="10" spans="1:37" ht="14.25" customHeight="1" x14ac:dyDescent="0.2">
      <c r="A10" s="33">
        <v>2</v>
      </c>
      <c r="B10" s="27" t="s">
        <v>42</v>
      </c>
      <c r="C10" s="28" t="s">
        <v>59</v>
      </c>
      <c r="D10" s="28" t="s">
        <v>60</v>
      </c>
      <c r="E10" s="29">
        <f>PAGADIAN!C26</f>
        <v>0</v>
      </c>
      <c r="F10" s="26" t="s">
        <v>53</v>
      </c>
      <c r="G10" s="77"/>
      <c r="H10" s="35">
        <f>PAGADIAN!C28</f>
        <v>0</v>
      </c>
      <c r="I10" s="83"/>
      <c r="J10" s="35">
        <f>PAGADIAN!C29</f>
        <v>0</v>
      </c>
      <c r="K10" s="77"/>
      <c r="L10" s="35">
        <f>PAGADIAN!C30</f>
        <v>0</v>
      </c>
      <c r="M10" s="77"/>
      <c r="N10" s="35">
        <f>PAGADIAN!C27</f>
        <v>0</v>
      </c>
      <c r="O10" s="78"/>
      <c r="P10" s="76"/>
      <c r="Q10" s="76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</row>
    <row r="11" spans="1:37" ht="14.25" customHeight="1" x14ac:dyDescent="0.2">
      <c r="A11" s="26">
        <v>3</v>
      </c>
      <c r="B11" s="27" t="s">
        <v>61</v>
      </c>
      <c r="C11" s="28" t="s">
        <v>59</v>
      </c>
      <c r="D11" s="28" t="s">
        <v>62</v>
      </c>
      <c r="E11" s="29">
        <f>OROQUIETA!C26</f>
        <v>0</v>
      </c>
      <c r="F11" s="26" t="s">
        <v>53</v>
      </c>
      <c r="G11" s="78"/>
      <c r="H11" s="37">
        <f>OROQUIETA!C28</f>
        <v>0</v>
      </c>
      <c r="I11" s="84"/>
      <c r="J11" s="37">
        <f>OROQUIETA!C29</f>
        <v>0</v>
      </c>
      <c r="K11" s="78"/>
      <c r="L11" s="37">
        <f>OROQUIETA!C30</f>
        <v>0</v>
      </c>
      <c r="M11" s="78"/>
      <c r="N11" s="37">
        <f>OROQUIETA!C27</f>
        <v>0</v>
      </c>
      <c r="O11" s="78"/>
      <c r="P11" s="76"/>
      <c r="Q11" s="76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</row>
    <row r="12" spans="1:37" ht="14.25" customHeight="1" x14ac:dyDescent="0.2">
      <c r="A12" s="26">
        <v>4</v>
      </c>
      <c r="B12" s="27" t="s">
        <v>63</v>
      </c>
      <c r="C12" s="28" t="s">
        <v>59</v>
      </c>
      <c r="D12" s="28" t="s">
        <v>17</v>
      </c>
      <c r="E12" s="29">
        <f>TANGUB!C26</f>
        <v>0</v>
      </c>
      <c r="F12" s="26" t="s">
        <v>53</v>
      </c>
      <c r="G12" s="78"/>
      <c r="H12" s="37">
        <f>TANGUB!C28</f>
        <v>0</v>
      </c>
      <c r="I12" s="84"/>
      <c r="J12" s="37">
        <f>TANGUB!C29</f>
        <v>0</v>
      </c>
      <c r="K12" s="80"/>
      <c r="L12" s="37">
        <f>TANGUB!C30</f>
        <v>0</v>
      </c>
      <c r="M12" s="78"/>
      <c r="N12" s="37">
        <f>TANGUB!C27</f>
        <v>0</v>
      </c>
      <c r="O12" s="78"/>
      <c r="P12" s="76"/>
      <c r="Q12" s="76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</row>
    <row r="13" spans="1:37" ht="14.25" customHeight="1" x14ac:dyDescent="0.2">
      <c r="A13" s="26">
        <v>5</v>
      </c>
      <c r="B13" s="27" t="s">
        <v>64</v>
      </c>
      <c r="C13" s="28" t="s">
        <v>59</v>
      </c>
      <c r="D13" s="28" t="s">
        <v>65</v>
      </c>
      <c r="E13" s="29">
        <f>IPIL!C26</f>
        <v>0</v>
      </c>
      <c r="F13" s="26" t="s">
        <v>53</v>
      </c>
      <c r="G13" s="79"/>
      <c r="H13" s="37">
        <f>IPIL!C28</f>
        <v>0</v>
      </c>
      <c r="I13" s="84"/>
      <c r="J13" s="37">
        <f>IPIL!C29</f>
        <v>0</v>
      </c>
      <c r="K13" s="78"/>
      <c r="L13" s="37">
        <f>IPIL!C30</f>
        <v>0</v>
      </c>
      <c r="M13" s="78"/>
      <c r="N13" s="37">
        <f>IPIL!C27</f>
        <v>0</v>
      </c>
      <c r="O13" s="78"/>
      <c r="P13" s="76"/>
      <c r="Q13" s="78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</row>
    <row r="14" spans="1:37" ht="15" customHeight="1" x14ac:dyDescent="0.2">
      <c r="A14" s="26">
        <v>6</v>
      </c>
      <c r="B14" s="27" t="s">
        <v>66</v>
      </c>
      <c r="C14" s="28" t="s">
        <v>59</v>
      </c>
      <c r="D14" s="28" t="s">
        <v>67</v>
      </c>
      <c r="E14" s="29">
        <f>ZAMBOANGA!C26</f>
        <v>0</v>
      </c>
      <c r="F14" s="26" t="s">
        <v>53</v>
      </c>
      <c r="G14" s="78"/>
      <c r="H14" s="37">
        <f>ZAMBOANGA!G28</f>
        <v>0</v>
      </c>
      <c r="I14" s="84"/>
      <c r="J14" s="37">
        <f>ZAMBOANGA!G29</f>
        <v>0</v>
      </c>
      <c r="K14" s="78"/>
      <c r="L14" s="37">
        <f>ZAMBOANGA!G30</f>
        <v>0</v>
      </c>
      <c r="M14" s="78"/>
      <c r="N14" s="37">
        <f>ZAMBOANGA!G27</f>
        <v>0</v>
      </c>
      <c r="O14" s="78"/>
      <c r="P14" s="78"/>
      <c r="Q14" s="78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</row>
    <row r="15" spans="1:37" ht="15" customHeight="1" x14ac:dyDescent="0.2">
      <c r="A15" s="33">
        <v>7</v>
      </c>
      <c r="B15" s="28" t="s">
        <v>68</v>
      </c>
      <c r="C15" s="28" t="s">
        <v>69</v>
      </c>
      <c r="D15" s="28" t="s">
        <v>67</v>
      </c>
      <c r="E15" s="29">
        <f>ZAMBOANGA!AA26</f>
        <v>0</v>
      </c>
      <c r="F15" s="26" t="s">
        <v>53</v>
      </c>
      <c r="G15" s="78"/>
      <c r="H15" s="37">
        <f>ZAMBOANGA!AA28</f>
        <v>0</v>
      </c>
      <c r="I15" s="84"/>
      <c r="J15" s="37">
        <f>ZAMBOANGA!AA29</f>
        <v>0</v>
      </c>
      <c r="K15" s="78"/>
      <c r="L15" s="37">
        <f>ZAMBOANGA!AA30</f>
        <v>0</v>
      </c>
      <c r="M15" s="78"/>
      <c r="N15" s="37">
        <f>ZAMBOANGA!AA27</f>
        <v>0</v>
      </c>
      <c r="O15" s="78"/>
      <c r="P15" s="78"/>
      <c r="Q15" s="78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</row>
    <row r="16" spans="1:37" ht="13.5" customHeight="1" x14ac:dyDescent="0.2">
      <c r="A16" s="26">
        <v>8</v>
      </c>
      <c r="B16" s="28" t="s">
        <v>71</v>
      </c>
      <c r="C16" s="28" t="s">
        <v>72</v>
      </c>
      <c r="D16" s="28" t="s">
        <v>67</v>
      </c>
      <c r="E16" s="29">
        <f>ZAMBOANGA!W26</f>
        <v>0</v>
      </c>
      <c r="F16" s="26" t="s">
        <v>73</v>
      </c>
      <c r="G16" s="78"/>
      <c r="H16" s="37">
        <f>ZAMBOANGA!W28</f>
        <v>0</v>
      </c>
      <c r="I16" s="84"/>
      <c r="J16" s="37">
        <f>ZAMBOANGA!W29</f>
        <v>0</v>
      </c>
      <c r="K16" s="78"/>
      <c r="L16" s="37">
        <f>ZAMBOANGA!W30</f>
        <v>0</v>
      </c>
      <c r="M16" s="78"/>
      <c r="N16" s="37">
        <f>ZAMBOANGA!W27</f>
        <v>0</v>
      </c>
      <c r="O16" s="78"/>
      <c r="P16" s="76"/>
      <c r="Q16" s="78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</row>
    <row r="17" spans="1:37" ht="15" customHeight="1" x14ac:dyDescent="0.2">
      <c r="A17" s="26">
        <v>9</v>
      </c>
      <c r="B17" s="28" t="s">
        <v>74</v>
      </c>
      <c r="C17" s="28" t="s">
        <v>72</v>
      </c>
      <c r="D17" s="28" t="s">
        <v>67</v>
      </c>
      <c r="E17" s="29">
        <f>ZAMBOANGA!K26</f>
        <v>0</v>
      </c>
      <c r="F17" s="26" t="s">
        <v>73</v>
      </c>
      <c r="G17" s="78"/>
      <c r="H17" s="37">
        <f>ZAMBOANGA!K28</f>
        <v>0</v>
      </c>
      <c r="I17" s="85"/>
      <c r="J17" s="37">
        <f>ZAMBOANGA!K29</f>
        <v>0</v>
      </c>
      <c r="K17" s="78"/>
      <c r="L17" s="37">
        <f>ZAMBOANGA!K30</f>
        <v>0</v>
      </c>
      <c r="M17" s="78"/>
      <c r="N17" s="37">
        <f>ZAMBOANGA!K27</f>
        <v>0</v>
      </c>
      <c r="O17" s="78"/>
      <c r="P17" s="76"/>
      <c r="Q17" s="76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</row>
    <row r="18" spans="1:37" ht="14.25" customHeight="1" x14ac:dyDescent="0.2">
      <c r="A18" s="26">
        <v>10</v>
      </c>
      <c r="B18" s="28" t="s">
        <v>75</v>
      </c>
      <c r="C18" s="28" t="s">
        <v>72</v>
      </c>
      <c r="D18" s="28" t="s">
        <v>67</v>
      </c>
      <c r="E18" s="29">
        <f>ZAMBOANGA!O26</f>
        <v>0</v>
      </c>
      <c r="F18" s="26" t="s">
        <v>73</v>
      </c>
      <c r="G18" s="78"/>
      <c r="H18" s="37">
        <f>ZAMBOANGA!O28</f>
        <v>0</v>
      </c>
      <c r="I18" s="84"/>
      <c r="J18" s="37">
        <f>ZAMBOANGA!O29</f>
        <v>0</v>
      </c>
      <c r="K18" s="80"/>
      <c r="L18" s="37">
        <f>ZAMBOANGA!O30</f>
        <v>0</v>
      </c>
      <c r="M18" s="78"/>
      <c r="N18" s="37">
        <f>ZAMBOANGA!O27</f>
        <v>0</v>
      </c>
      <c r="O18" s="78"/>
      <c r="P18" s="78"/>
      <c r="Q18" s="78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</row>
    <row r="19" spans="1:37" ht="14.25" customHeight="1" x14ac:dyDescent="0.2">
      <c r="A19" s="26">
        <v>11</v>
      </c>
      <c r="B19" s="28" t="s">
        <v>77</v>
      </c>
      <c r="C19" s="28" t="s">
        <v>72</v>
      </c>
      <c r="D19" s="28" t="s">
        <v>67</v>
      </c>
      <c r="E19" s="29">
        <f>ZAMBOANGA!S26</f>
        <v>0</v>
      </c>
      <c r="F19" s="26" t="s">
        <v>73</v>
      </c>
      <c r="G19" s="78"/>
      <c r="H19" s="37">
        <f>ZAMBOANGA!S28</f>
        <v>0</v>
      </c>
      <c r="I19" s="84"/>
      <c r="J19" s="37">
        <f>ZAMBOANGA!S29</f>
        <v>0</v>
      </c>
      <c r="K19" s="80"/>
      <c r="L19" s="37">
        <f>ZAMBOANGA!S30</f>
        <v>0</v>
      </c>
      <c r="M19" s="78"/>
      <c r="N19" s="37">
        <f>ZAMBOANGA!S27</f>
        <v>0</v>
      </c>
      <c r="O19" s="78"/>
      <c r="P19" s="76"/>
      <c r="Q19" s="76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</row>
    <row r="20" spans="1:37" ht="14.25" customHeight="1" x14ac:dyDescent="0.2">
      <c r="A20" s="33">
        <v>12</v>
      </c>
      <c r="B20" s="28" t="s">
        <v>56</v>
      </c>
      <c r="C20" s="28" t="s">
        <v>72</v>
      </c>
      <c r="D20" s="28" t="s">
        <v>15</v>
      </c>
      <c r="E20" s="29">
        <f>PAGADIAN!AA26</f>
        <v>0</v>
      </c>
      <c r="F20" s="26" t="s">
        <v>73</v>
      </c>
      <c r="G20" s="80"/>
      <c r="H20" s="37">
        <f>PAGADIAN!AA28</f>
        <v>0</v>
      </c>
      <c r="I20" s="80"/>
      <c r="J20" s="37">
        <f>PAGADIAN!AA29</f>
        <v>0</v>
      </c>
      <c r="K20" s="80"/>
      <c r="L20" s="37">
        <f>PAGADIAN!AA30</f>
        <v>0</v>
      </c>
      <c r="M20" s="84"/>
      <c r="N20" s="37">
        <f>PAGADIAN!AA27</f>
        <v>0</v>
      </c>
      <c r="O20" s="78"/>
      <c r="P20" s="76"/>
      <c r="Q20" s="76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</row>
    <row r="21" spans="1:37" ht="14.25" customHeight="1" x14ac:dyDescent="0.2">
      <c r="A21" s="26">
        <v>13</v>
      </c>
      <c r="B21" s="28" t="s">
        <v>57</v>
      </c>
      <c r="C21" s="28" t="s">
        <v>72</v>
      </c>
      <c r="D21" s="28" t="s">
        <v>15</v>
      </c>
      <c r="E21" s="29">
        <f>PAGADIAN!AE26</f>
        <v>0</v>
      </c>
      <c r="F21" s="26" t="s">
        <v>73</v>
      </c>
      <c r="G21" s="80"/>
      <c r="H21" s="37">
        <f>PAGADIAN!AE28</f>
        <v>0</v>
      </c>
      <c r="I21" s="80"/>
      <c r="J21" s="37">
        <f>PAGADIAN!AE29</f>
        <v>0</v>
      </c>
      <c r="K21" s="80"/>
      <c r="L21" s="37">
        <f>PAGADIAN!AE30</f>
        <v>0</v>
      </c>
      <c r="M21" s="84"/>
      <c r="N21" s="37">
        <f>PAGADIAN!AE27</f>
        <v>0</v>
      </c>
      <c r="O21" s="78"/>
      <c r="P21" s="76"/>
      <c r="Q21" s="76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</row>
    <row r="22" spans="1:37" ht="14.25" customHeight="1" x14ac:dyDescent="0.2">
      <c r="A22" s="26">
        <v>14</v>
      </c>
      <c r="B22" s="39" t="s">
        <v>27</v>
      </c>
      <c r="C22" s="39" t="s">
        <v>78</v>
      </c>
      <c r="D22" s="39" t="s">
        <v>79</v>
      </c>
      <c r="E22" s="40">
        <f>BUUG!C26</f>
        <v>0</v>
      </c>
      <c r="F22" s="26" t="s">
        <v>73</v>
      </c>
      <c r="G22" s="78"/>
      <c r="H22" s="37">
        <f>COUNTIF(BUUG!C9:C23,"VL")+COUNTIF(BUUG!C9:C23,"Leave")</f>
        <v>0</v>
      </c>
      <c r="I22" s="84"/>
      <c r="J22" s="37">
        <f>BUUG!C29</f>
        <v>0</v>
      </c>
      <c r="K22" s="78"/>
      <c r="L22" s="37">
        <f>BUUG!C30</f>
        <v>0</v>
      </c>
      <c r="M22" s="78"/>
      <c r="N22" s="37">
        <f>BUUG!C27</f>
        <v>0</v>
      </c>
      <c r="O22" s="78"/>
      <c r="P22" s="76"/>
      <c r="Q22" s="76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</row>
    <row r="23" spans="1:37" ht="14.25" customHeight="1" x14ac:dyDescent="0.2">
      <c r="A23" s="26">
        <v>15</v>
      </c>
      <c r="B23" s="28" t="s">
        <v>80</v>
      </c>
      <c r="C23" s="28" t="s">
        <v>78</v>
      </c>
      <c r="D23" s="28" t="s">
        <v>17</v>
      </c>
      <c r="E23" s="29">
        <f>TANGUB!K26</f>
        <v>0</v>
      </c>
      <c r="F23" s="26" t="s">
        <v>73</v>
      </c>
      <c r="G23" s="78"/>
      <c r="H23" s="37">
        <f>TANGUB!K28</f>
        <v>0</v>
      </c>
      <c r="I23" s="84"/>
      <c r="J23" s="37">
        <f>TANGUB!K29</f>
        <v>0</v>
      </c>
      <c r="K23" s="78"/>
      <c r="L23" s="37">
        <f>TANGUB!K30</f>
        <v>0</v>
      </c>
      <c r="M23" s="78"/>
      <c r="N23" s="37">
        <f>TANGUB!K27</f>
        <v>0</v>
      </c>
      <c r="O23" s="78"/>
      <c r="P23" s="76"/>
      <c r="Q23" s="78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</row>
    <row r="24" spans="1:37" ht="14.25" customHeight="1" x14ac:dyDescent="0.2">
      <c r="A24" s="26">
        <v>16</v>
      </c>
      <c r="B24" s="28" t="s">
        <v>81</v>
      </c>
      <c r="C24" s="28" t="s">
        <v>78</v>
      </c>
      <c r="D24" s="28" t="s">
        <v>62</v>
      </c>
      <c r="E24" s="29">
        <f>OROQUIETA!K26</f>
        <v>0</v>
      </c>
      <c r="F24" s="26" t="s">
        <v>53</v>
      </c>
      <c r="G24" s="78"/>
      <c r="H24" s="37">
        <f>OROQUIETA!K28</f>
        <v>0</v>
      </c>
      <c r="I24" s="85"/>
      <c r="J24" s="37">
        <f>OROQUIETA!K29</f>
        <v>0</v>
      </c>
      <c r="K24" s="80"/>
      <c r="L24" s="37">
        <f>OROQUIETA!K30</f>
        <v>0</v>
      </c>
      <c r="M24" s="78"/>
      <c r="N24" s="37">
        <f>OROQUIETA!K27</f>
        <v>0</v>
      </c>
      <c r="O24" s="78"/>
      <c r="P24" s="76"/>
      <c r="Q24" s="76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</row>
    <row r="25" spans="1:37" ht="14.25" customHeight="1" x14ac:dyDescent="0.2">
      <c r="A25" s="33">
        <v>17</v>
      </c>
      <c r="B25" s="28" t="s">
        <v>82</v>
      </c>
      <c r="C25" s="28" t="s">
        <v>78</v>
      </c>
      <c r="D25" s="28" t="s">
        <v>83</v>
      </c>
      <c r="E25" s="29">
        <f>IPIL!S26</f>
        <v>0</v>
      </c>
      <c r="F25" s="26" t="s">
        <v>73</v>
      </c>
      <c r="G25" s="78"/>
      <c r="H25" s="37">
        <f>IPIL!S28</f>
        <v>0</v>
      </c>
      <c r="I25" s="84"/>
      <c r="J25" s="37">
        <f>IPIL!S29</f>
        <v>0</v>
      </c>
      <c r="K25" s="80"/>
      <c r="L25" s="37">
        <f>IPIL!S30</f>
        <v>0</v>
      </c>
      <c r="M25" s="78"/>
      <c r="N25" s="37">
        <f>IPIL!S27</f>
        <v>0</v>
      </c>
      <c r="O25" s="78"/>
      <c r="P25" s="76"/>
      <c r="Q25" s="78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</row>
    <row r="26" spans="1:37" ht="14.25" customHeight="1" x14ac:dyDescent="0.2">
      <c r="A26" s="26">
        <v>18</v>
      </c>
      <c r="B26" s="28" t="s">
        <v>84</v>
      </c>
      <c r="C26" s="28" t="s">
        <v>85</v>
      </c>
      <c r="D26" s="28" t="s">
        <v>67</v>
      </c>
      <c r="E26" s="29">
        <f>ZAMBOANGA!BG26</f>
        <v>0</v>
      </c>
      <c r="F26" s="26" t="s">
        <v>73</v>
      </c>
      <c r="G26" s="78"/>
      <c r="H26" s="37">
        <f>ZAMBOANGA!BG28</f>
        <v>0</v>
      </c>
      <c r="I26" s="84"/>
      <c r="J26" s="37">
        <f>ZAMBOANGA!BG29</f>
        <v>0</v>
      </c>
      <c r="K26" s="80"/>
      <c r="L26" s="37">
        <f>ZAMBOANGA!BG30</f>
        <v>0</v>
      </c>
      <c r="M26" s="78"/>
      <c r="N26" s="37">
        <f>ZAMBOANGA!BG27</f>
        <v>0</v>
      </c>
      <c r="O26" s="78"/>
      <c r="P26" s="76"/>
      <c r="Q26" s="76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</row>
    <row r="27" spans="1:37" ht="14.25" customHeight="1" x14ac:dyDescent="0.2">
      <c r="A27" s="26">
        <v>19</v>
      </c>
      <c r="B27" s="28" t="s">
        <v>44</v>
      </c>
      <c r="C27" s="28" t="s">
        <v>85</v>
      </c>
      <c r="D27" s="28" t="s">
        <v>17</v>
      </c>
      <c r="E27" s="29">
        <f>TANGUB!G26</f>
        <v>0</v>
      </c>
      <c r="F27" s="26" t="s">
        <v>73</v>
      </c>
      <c r="G27" s="78"/>
      <c r="H27" s="37">
        <f>TANGUB!G28</f>
        <v>0</v>
      </c>
      <c r="I27" s="84"/>
      <c r="J27" s="37">
        <f>TANGUB!G29</f>
        <v>0</v>
      </c>
      <c r="K27" s="80"/>
      <c r="L27" s="37">
        <f>TANGUB!G30</f>
        <v>0</v>
      </c>
      <c r="M27" s="78"/>
      <c r="N27" s="37">
        <f>TANGUB!G27</f>
        <v>0</v>
      </c>
      <c r="O27" s="78"/>
      <c r="P27" s="76"/>
      <c r="Q27" s="76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</row>
    <row r="28" spans="1:37" ht="14.25" customHeight="1" x14ac:dyDescent="0.2">
      <c r="A28" s="26">
        <v>20</v>
      </c>
      <c r="B28" s="28" t="s">
        <v>86</v>
      </c>
      <c r="C28" s="28" t="s">
        <v>85</v>
      </c>
      <c r="D28" s="28" t="s">
        <v>65</v>
      </c>
      <c r="E28" s="29">
        <f>IPIL!G26</f>
        <v>0</v>
      </c>
      <c r="F28" s="26" t="s">
        <v>73</v>
      </c>
      <c r="G28" s="78"/>
      <c r="H28" s="37">
        <f>IPIL!G28</f>
        <v>0</v>
      </c>
      <c r="I28" s="84"/>
      <c r="J28" s="37">
        <f>IPIL!G29</f>
        <v>0</v>
      </c>
      <c r="K28" s="80"/>
      <c r="L28" s="37">
        <f>IPIL!G30</f>
        <v>0</v>
      </c>
      <c r="M28" s="78"/>
      <c r="N28" s="37">
        <f>IPIL!G27</f>
        <v>0</v>
      </c>
      <c r="O28" s="78"/>
      <c r="P28" s="76"/>
      <c r="Q28" s="76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</row>
    <row r="29" spans="1:37" ht="17.25" customHeight="1" x14ac:dyDescent="0.2">
      <c r="A29" s="26">
        <v>21</v>
      </c>
      <c r="B29" s="28" t="s">
        <v>87</v>
      </c>
      <c r="C29" s="28" t="s">
        <v>85</v>
      </c>
      <c r="D29" s="28" t="s">
        <v>65</v>
      </c>
      <c r="E29" s="29">
        <f>IPIL!K26</f>
        <v>0</v>
      </c>
      <c r="F29" s="26" t="s">
        <v>73</v>
      </c>
      <c r="G29" s="78"/>
      <c r="H29" s="37">
        <f>IPIL!K28</f>
        <v>0</v>
      </c>
      <c r="I29" s="84"/>
      <c r="J29" s="37">
        <f>IPIL!K29</f>
        <v>0</v>
      </c>
      <c r="K29" s="80"/>
      <c r="L29" s="37">
        <f>IPIL!K30</f>
        <v>0</v>
      </c>
      <c r="M29" s="78"/>
      <c r="N29" s="37">
        <f>IPIL!K27</f>
        <v>0</v>
      </c>
      <c r="O29" s="78"/>
      <c r="P29" s="76"/>
      <c r="Q29" s="76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</row>
    <row r="30" spans="1:37" ht="17.25" customHeight="1" x14ac:dyDescent="0.2">
      <c r="A30" s="33">
        <v>22</v>
      </c>
      <c r="B30" s="28" t="s">
        <v>88</v>
      </c>
      <c r="C30" s="28" t="s">
        <v>85</v>
      </c>
      <c r="D30" s="28" t="s">
        <v>17</v>
      </c>
      <c r="E30" s="29">
        <f>TANGUB!S26</f>
        <v>0</v>
      </c>
      <c r="F30" s="26" t="s">
        <v>73</v>
      </c>
      <c r="G30" s="78"/>
      <c r="H30" s="37">
        <f>TANGUB!S28</f>
        <v>0</v>
      </c>
      <c r="I30" s="84"/>
      <c r="J30" s="37">
        <f>TANGUB!S29</f>
        <v>0</v>
      </c>
      <c r="K30" s="80"/>
      <c r="L30" s="37">
        <f>TANGUB!S30</f>
        <v>0</v>
      </c>
      <c r="M30" s="78"/>
      <c r="N30" s="37">
        <f>TANGUB!S27</f>
        <v>0</v>
      </c>
      <c r="O30" s="78"/>
      <c r="P30" s="76"/>
      <c r="Q30" s="76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</row>
    <row r="31" spans="1:37" ht="14.25" customHeight="1" x14ac:dyDescent="0.2">
      <c r="A31" s="26">
        <v>23</v>
      </c>
      <c r="B31" s="28" t="s">
        <v>89</v>
      </c>
      <c r="C31" s="28" t="s">
        <v>90</v>
      </c>
      <c r="D31" s="28" t="s">
        <v>15</v>
      </c>
      <c r="E31" s="29">
        <f>PAGADIAN!G26</f>
        <v>0</v>
      </c>
      <c r="F31" s="26" t="s">
        <v>73</v>
      </c>
      <c r="G31" s="78"/>
      <c r="H31" s="37">
        <f>PAGADIAN!G28</f>
        <v>0</v>
      </c>
      <c r="I31" s="84"/>
      <c r="J31" s="37">
        <f>PAGADIAN!G29</f>
        <v>0</v>
      </c>
      <c r="K31" s="80"/>
      <c r="L31" s="37">
        <f>PAGADIAN!G30</f>
        <v>0</v>
      </c>
      <c r="M31" s="78"/>
      <c r="N31" s="37">
        <f>PAGADIAN!G27</f>
        <v>0</v>
      </c>
      <c r="O31" s="78"/>
      <c r="P31" s="76"/>
      <c r="Q31" s="76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</row>
    <row r="32" spans="1:37" ht="14.25" customHeight="1" x14ac:dyDescent="0.2">
      <c r="A32" s="26">
        <v>24</v>
      </c>
      <c r="B32" s="28" t="s">
        <v>46</v>
      </c>
      <c r="C32" s="28" t="s">
        <v>90</v>
      </c>
      <c r="D32" s="28" t="s">
        <v>15</v>
      </c>
      <c r="E32" s="29">
        <f>PAGADIAN!K26</f>
        <v>0</v>
      </c>
      <c r="F32" s="26" t="s">
        <v>73</v>
      </c>
      <c r="G32" s="78"/>
      <c r="H32" s="37">
        <f>PAGADIAN!K28</f>
        <v>0</v>
      </c>
      <c r="I32" s="84"/>
      <c r="J32" s="37">
        <f>PAGADIAN!K29</f>
        <v>0</v>
      </c>
      <c r="K32" s="80"/>
      <c r="L32" s="37">
        <f>PAGADIAN!K30</f>
        <v>0</v>
      </c>
      <c r="M32" s="78"/>
      <c r="N32" s="37">
        <f>PAGADIAN!K27</f>
        <v>0</v>
      </c>
      <c r="O32" s="78"/>
      <c r="P32" s="76"/>
      <c r="Q32" s="76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</row>
    <row r="33" spans="1:37" ht="14.25" customHeight="1" x14ac:dyDescent="0.2">
      <c r="A33" s="26">
        <v>25</v>
      </c>
      <c r="B33" s="28" t="s">
        <v>91</v>
      </c>
      <c r="C33" s="28" t="s">
        <v>90</v>
      </c>
      <c r="D33" s="28" t="s">
        <v>67</v>
      </c>
      <c r="E33" s="29">
        <f>ZAMBOANGA!AY26</f>
        <v>0</v>
      </c>
      <c r="F33" s="26" t="s">
        <v>73</v>
      </c>
      <c r="G33" s="78"/>
      <c r="H33" s="37">
        <f>ZAMBOANGA!AY28</f>
        <v>0</v>
      </c>
      <c r="I33" s="84"/>
      <c r="J33" s="37">
        <f>ZAMBOANGA!AY29</f>
        <v>0</v>
      </c>
      <c r="K33" s="80"/>
      <c r="L33" s="37">
        <f>ZAMBOANGA!AY30</f>
        <v>0</v>
      </c>
      <c r="M33" s="78"/>
      <c r="N33" s="37">
        <f>ZAMBOANGA!AY27</f>
        <v>0</v>
      </c>
      <c r="O33" s="78"/>
      <c r="P33" s="76"/>
      <c r="Q33" s="78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</row>
    <row r="34" spans="1:37" ht="14.25" customHeight="1" x14ac:dyDescent="0.2">
      <c r="A34" s="26">
        <v>26</v>
      </c>
      <c r="B34" s="28" t="s">
        <v>92</v>
      </c>
      <c r="C34" s="28" t="s">
        <v>90</v>
      </c>
      <c r="D34" s="28" t="s">
        <v>65</v>
      </c>
      <c r="E34" s="29">
        <f>IPIL!W26</f>
        <v>0</v>
      </c>
      <c r="F34" s="26" t="s">
        <v>73</v>
      </c>
      <c r="G34" s="78"/>
      <c r="H34" s="37">
        <f>IPIL!W28</f>
        <v>0</v>
      </c>
      <c r="I34" s="84"/>
      <c r="J34" s="37">
        <f>IPIL!W29</f>
        <v>0</v>
      </c>
      <c r="K34" s="82"/>
      <c r="L34" s="37">
        <f>IPIL!W30</f>
        <v>0</v>
      </c>
      <c r="M34" s="78"/>
      <c r="N34" s="37">
        <f>IPIL!W27</f>
        <v>0</v>
      </c>
      <c r="O34" s="78"/>
      <c r="P34" s="76"/>
      <c r="Q34" s="78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</row>
    <row r="35" spans="1:37" ht="14.25" customHeight="1" x14ac:dyDescent="0.2">
      <c r="A35" s="33">
        <v>27</v>
      </c>
      <c r="B35" s="28" t="s">
        <v>93</v>
      </c>
      <c r="C35" s="28" t="s">
        <v>90</v>
      </c>
      <c r="D35" s="28" t="s">
        <v>67</v>
      </c>
      <c r="E35" s="29">
        <f>ZAMBOANGA!CU26</f>
        <v>0</v>
      </c>
      <c r="F35" s="26" t="s">
        <v>73</v>
      </c>
      <c r="G35" s="78"/>
      <c r="H35" s="37">
        <f>ZAMBOANGA!CU28</f>
        <v>0</v>
      </c>
      <c r="I35" s="84"/>
      <c r="J35" s="37">
        <f>ZAMBOANGA!CU29</f>
        <v>0</v>
      </c>
      <c r="K35" s="80"/>
      <c r="L35" s="37">
        <f>ZAMBOANGA!CU30</f>
        <v>0</v>
      </c>
      <c r="M35" s="78"/>
      <c r="N35" s="37">
        <f>ZAMBOANGA!CU27</f>
        <v>0</v>
      </c>
      <c r="O35" s="78"/>
      <c r="P35" s="76"/>
      <c r="Q35" s="78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</row>
    <row r="36" spans="1:37" ht="14.25" customHeight="1" x14ac:dyDescent="0.2">
      <c r="A36" s="26">
        <v>28</v>
      </c>
      <c r="B36" s="28" t="s">
        <v>94</v>
      </c>
      <c r="C36" s="28" t="s">
        <v>90</v>
      </c>
      <c r="D36" s="28" t="s">
        <v>67</v>
      </c>
      <c r="E36" s="29">
        <f>ZAMBOANGA!CQ26</f>
        <v>0</v>
      </c>
      <c r="F36" s="26" t="s">
        <v>73</v>
      </c>
      <c r="G36" s="78"/>
      <c r="H36" s="37">
        <f>ZAMBOANGA!CQ28</f>
        <v>0</v>
      </c>
      <c r="I36" s="84"/>
      <c r="J36" s="37">
        <f>ZAMBOANGA!CQ29</f>
        <v>0</v>
      </c>
      <c r="K36" s="80"/>
      <c r="L36" s="37">
        <f>ZAMBOANGA!CQ30</f>
        <v>0</v>
      </c>
      <c r="M36" s="84"/>
      <c r="N36" s="37">
        <f>ZAMBOANGA!CQ27</f>
        <v>0</v>
      </c>
      <c r="O36" s="78"/>
      <c r="P36" s="76"/>
      <c r="Q36" s="78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</row>
    <row r="37" spans="1:37" ht="14.25" customHeight="1" x14ac:dyDescent="0.2">
      <c r="A37" s="26">
        <v>29</v>
      </c>
      <c r="B37" s="28" t="s">
        <v>95</v>
      </c>
      <c r="C37" s="28" t="s">
        <v>90</v>
      </c>
      <c r="D37" s="28" t="s">
        <v>67</v>
      </c>
      <c r="E37" s="29">
        <f>ZAMBOANGA!BW26</f>
        <v>0</v>
      </c>
      <c r="F37" s="26" t="s">
        <v>73</v>
      </c>
      <c r="G37" s="78"/>
      <c r="H37" s="37">
        <f>ZAMBOANGA!BW28</f>
        <v>0</v>
      </c>
      <c r="I37" s="84"/>
      <c r="J37" s="37">
        <f>ZAMBOANGA!BW29</f>
        <v>0</v>
      </c>
      <c r="K37" s="80"/>
      <c r="L37" s="37">
        <f>ZAMBOANGA!BW30</f>
        <v>0</v>
      </c>
      <c r="M37" s="78"/>
      <c r="N37" s="37">
        <f>ZAMBOANGA!BW27</f>
        <v>0</v>
      </c>
      <c r="O37" s="78"/>
      <c r="P37" s="76"/>
      <c r="Q37" s="76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</row>
    <row r="38" spans="1:37" ht="14.25" customHeight="1" x14ac:dyDescent="0.2">
      <c r="A38" s="26">
        <v>30</v>
      </c>
      <c r="B38" s="28" t="s">
        <v>96</v>
      </c>
      <c r="C38" s="28" t="s">
        <v>97</v>
      </c>
      <c r="D38" s="28" t="s">
        <v>67</v>
      </c>
      <c r="E38" s="29">
        <f>ZAMBOANGA!BO26</f>
        <v>0</v>
      </c>
      <c r="F38" s="26" t="s">
        <v>73</v>
      </c>
      <c r="G38" s="78"/>
      <c r="H38" s="37">
        <f>ZAMBOANGA!BO28</f>
        <v>0</v>
      </c>
      <c r="I38" s="84"/>
      <c r="J38" s="37">
        <f>ZAMBOANGA!BO29</f>
        <v>0</v>
      </c>
      <c r="K38" s="80"/>
      <c r="L38" s="37">
        <f>ZAMBOANGA!BO30</f>
        <v>0</v>
      </c>
      <c r="M38" s="78"/>
      <c r="N38" s="37">
        <f>ZAMBOANGA!BO27</f>
        <v>0</v>
      </c>
      <c r="O38" s="78"/>
      <c r="P38" s="76"/>
      <c r="Q38" s="76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</row>
    <row r="39" spans="1:37" ht="14.25" customHeight="1" x14ac:dyDescent="0.2">
      <c r="A39" s="26">
        <v>31</v>
      </c>
      <c r="B39" s="28" t="s">
        <v>98</v>
      </c>
      <c r="C39" s="28" t="s">
        <v>99</v>
      </c>
      <c r="D39" s="28" t="s">
        <v>83</v>
      </c>
      <c r="E39" s="29">
        <f>IPIL!O26</f>
        <v>0</v>
      </c>
      <c r="F39" s="26" t="s">
        <v>73</v>
      </c>
      <c r="G39" s="78"/>
      <c r="H39" s="37">
        <f>IPIL!O28</f>
        <v>0</v>
      </c>
      <c r="I39" s="84"/>
      <c r="J39" s="37">
        <f>IPIL!O29</f>
        <v>0</v>
      </c>
      <c r="K39" s="80"/>
      <c r="L39" s="37">
        <f>IPIL!O30</f>
        <v>0</v>
      </c>
      <c r="M39" s="79"/>
      <c r="N39" s="37">
        <f>IPIL!O27</f>
        <v>0</v>
      </c>
      <c r="O39" s="78"/>
      <c r="P39" s="76"/>
      <c r="Q39" s="76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</row>
    <row r="40" spans="1:37" ht="14.25" customHeight="1" x14ac:dyDescent="0.2">
      <c r="A40" s="33">
        <v>32</v>
      </c>
      <c r="B40" s="28" t="s">
        <v>100</v>
      </c>
      <c r="C40" s="28" t="s">
        <v>99</v>
      </c>
      <c r="D40" s="28" t="s">
        <v>62</v>
      </c>
      <c r="E40" s="29">
        <f>OROQUIETA!W26</f>
        <v>0</v>
      </c>
      <c r="F40" s="26" t="s">
        <v>53</v>
      </c>
      <c r="G40" s="78"/>
      <c r="H40" s="37">
        <f>OROQUIETA!W28</f>
        <v>0</v>
      </c>
      <c r="I40" s="84"/>
      <c r="J40" s="37">
        <f>OROQUIETA!W29</f>
        <v>0</v>
      </c>
      <c r="K40" s="80"/>
      <c r="L40" s="37">
        <f>OROQUIETA!W30</f>
        <v>0</v>
      </c>
      <c r="M40" s="78"/>
      <c r="N40" s="37">
        <f>OROQUIETA!W27</f>
        <v>0</v>
      </c>
      <c r="O40" s="78"/>
      <c r="P40" s="76"/>
      <c r="Q40" s="76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</row>
    <row r="41" spans="1:37" ht="14.25" customHeight="1" x14ac:dyDescent="0.2">
      <c r="A41" s="26">
        <v>33</v>
      </c>
      <c r="B41" s="14" t="s">
        <v>101</v>
      </c>
      <c r="C41" s="28" t="s">
        <v>99</v>
      </c>
      <c r="D41" s="28" t="s">
        <v>62</v>
      </c>
      <c r="E41" s="29">
        <f>OROQUIETA!O26</f>
        <v>0</v>
      </c>
      <c r="F41" s="26" t="s">
        <v>53</v>
      </c>
      <c r="G41" s="78"/>
      <c r="H41" s="37">
        <f>OROQUIETA!O28</f>
        <v>0</v>
      </c>
      <c r="I41" s="84"/>
      <c r="J41" s="37">
        <f>OROQUIETA!O29</f>
        <v>0</v>
      </c>
      <c r="K41" s="80"/>
      <c r="L41" s="37">
        <f>OROQUIETA!O30</f>
        <v>0</v>
      </c>
      <c r="M41" s="78"/>
      <c r="N41" s="37">
        <f>OROQUIETA!O27</f>
        <v>0</v>
      </c>
      <c r="O41" s="78"/>
      <c r="P41" s="76"/>
      <c r="Q41" s="76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</row>
    <row r="42" spans="1:37" ht="14.25" customHeight="1" x14ac:dyDescent="0.2">
      <c r="A42" s="26">
        <v>34</v>
      </c>
      <c r="B42" s="28" t="s">
        <v>102</v>
      </c>
      <c r="C42" s="28" t="s">
        <v>99</v>
      </c>
      <c r="D42" s="28" t="s">
        <v>103</v>
      </c>
      <c r="E42" s="29">
        <f>ZAMBOANGA!CM26</f>
        <v>0</v>
      </c>
      <c r="F42" s="26" t="s">
        <v>73</v>
      </c>
      <c r="G42" s="78"/>
      <c r="H42" s="45">
        <f>ZAMBOANGA!CM28</f>
        <v>0</v>
      </c>
      <c r="I42" s="84"/>
      <c r="J42" s="37">
        <f>ZAMBOANGA!CM29</f>
        <v>0</v>
      </c>
      <c r="K42" s="80"/>
      <c r="L42" s="37">
        <f>ZAMBOANGA!CM30</f>
        <v>0</v>
      </c>
      <c r="M42" s="78"/>
      <c r="N42" s="45">
        <f>ZAMBOANGA!CM27</f>
        <v>0</v>
      </c>
      <c r="O42" s="78"/>
      <c r="P42" s="76"/>
      <c r="Q42" s="78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</row>
    <row r="43" spans="1:37" ht="14.25" customHeight="1" x14ac:dyDescent="0.2">
      <c r="A43" s="26">
        <v>35</v>
      </c>
      <c r="B43" s="28" t="s">
        <v>104</v>
      </c>
      <c r="C43" s="28" t="s">
        <v>105</v>
      </c>
      <c r="D43" s="28" t="s">
        <v>67</v>
      </c>
      <c r="E43" s="29">
        <f>ZAMBOANGA!AE26</f>
        <v>0</v>
      </c>
      <c r="F43" s="26" t="s">
        <v>73</v>
      </c>
      <c r="G43" s="78"/>
      <c r="H43" s="37">
        <f>ZAMBOANGA!AE28</f>
        <v>0</v>
      </c>
      <c r="I43" s="84"/>
      <c r="J43" s="37">
        <f>ZAMBOANGA!AE29</f>
        <v>0</v>
      </c>
      <c r="K43" s="80"/>
      <c r="L43" s="37">
        <f>ZAMBOANGA!AE30</f>
        <v>0</v>
      </c>
      <c r="M43" s="79"/>
      <c r="N43" s="37">
        <f>ZAMBOANGA!AE27</f>
        <v>0</v>
      </c>
      <c r="O43" s="78"/>
      <c r="P43" s="76"/>
      <c r="Q43" s="78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</row>
    <row r="44" spans="1:37" ht="14.25" customHeight="1" x14ac:dyDescent="0.2">
      <c r="A44" s="26">
        <v>36</v>
      </c>
      <c r="B44" s="28" t="s">
        <v>106</v>
      </c>
      <c r="C44" s="28" t="s">
        <v>105</v>
      </c>
      <c r="D44" s="28" t="s">
        <v>107</v>
      </c>
      <c r="E44" s="29">
        <f>ZAMBOANGA!BS26</f>
        <v>0</v>
      </c>
      <c r="F44" s="26" t="s">
        <v>73</v>
      </c>
      <c r="G44" s="79"/>
      <c r="H44" s="37">
        <f>ZAMBOANGA!BS28</f>
        <v>0</v>
      </c>
      <c r="I44" s="84"/>
      <c r="J44" s="37">
        <f>ZAMBOANGA!BS29</f>
        <v>0</v>
      </c>
      <c r="K44" s="80"/>
      <c r="L44" s="37">
        <f>ZAMBOANGA!BS30</f>
        <v>0</v>
      </c>
      <c r="M44" s="79"/>
      <c r="N44" s="37">
        <f>ZAMBOANGA!BS27</f>
        <v>0</v>
      </c>
      <c r="O44" s="78"/>
      <c r="P44" s="76"/>
      <c r="Q44" s="78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</row>
    <row r="45" spans="1:37" ht="14.25" customHeight="1" x14ac:dyDescent="0.2">
      <c r="A45" s="33">
        <v>37</v>
      </c>
      <c r="B45" s="28" t="s">
        <v>108</v>
      </c>
      <c r="C45" s="28" t="s">
        <v>105</v>
      </c>
      <c r="D45" s="28" t="s">
        <v>107</v>
      </c>
      <c r="E45" s="29">
        <f>ZAMBOANGA!CA26</f>
        <v>0</v>
      </c>
      <c r="F45" s="26" t="s">
        <v>73</v>
      </c>
      <c r="G45" s="78"/>
      <c r="H45" s="37">
        <f>ZAMBOANGA!CA28</f>
        <v>0</v>
      </c>
      <c r="I45" s="84"/>
      <c r="J45" s="37">
        <f>ZAMBOANGA!CA29</f>
        <v>0</v>
      </c>
      <c r="K45" s="80"/>
      <c r="L45" s="37">
        <f>ZAMBOANGA!CA30</f>
        <v>0</v>
      </c>
      <c r="M45" s="78"/>
      <c r="N45" s="37">
        <f>ZAMBOANGA!CA27</f>
        <v>0</v>
      </c>
      <c r="O45" s="78"/>
      <c r="P45" s="76"/>
      <c r="Q45" s="78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</row>
    <row r="46" spans="1:37" ht="14.25" customHeight="1" x14ac:dyDescent="0.2">
      <c r="A46" s="26">
        <v>38</v>
      </c>
      <c r="B46" s="28" t="s">
        <v>109</v>
      </c>
      <c r="C46" s="28" t="s">
        <v>105</v>
      </c>
      <c r="D46" s="28" t="s">
        <v>107</v>
      </c>
      <c r="E46" s="29">
        <f>ZAMBOANGA!CE26</f>
        <v>0</v>
      </c>
      <c r="F46" s="26" t="s">
        <v>73</v>
      </c>
      <c r="G46" s="81"/>
      <c r="H46" s="37">
        <f>ZAMBOANGA!CE28</f>
        <v>0</v>
      </c>
      <c r="I46" s="84"/>
      <c r="J46" s="37">
        <f>ZAMBOANGA!CE29</f>
        <v>0</v>
      </c>
      <c r="K46" s="80"/>
      <c r="L46" s="37">
        <f>ZAMBOANGA!CE30</f>
        <v>0</v>
      </c>
      <c r="M46" s="78"/>
      <c r="N46" s="37">
        <f>ZAMBOANGA!CE27</f>
        <v>0</v>
      </c>
      <c r="O46" s="78"/>
      <c r="P46" s="76"/>
      <c r="Q46" s="76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</row>
    <row r="47" spans="1:37" ht="14.25" customHeight="1" x14ac:dyDescent="0.2">
      <c r="A47" s="26">
        <v>39</v>
      </c>
      <c r="B47" s="28" t="s">
        <v>110</v>
      </c>
      <c r="C47" s="28" t="s">
        <v>111</v>
      </c>
      <c r="D47" s="28" t="s">
        <v>65</v>
      </c>
      <c r="E47" s="29">
        <f>IPIL!AA26</f>
        <v>0</v>
      </c>
      <c r="F47" s="26" t="s">
        <v>73</v>
      </c>
      <c r="G47" s="78"/>
      <c r="H47" s="37">
        <f>IPIL!AA28</f>
        <v>0</v>
      </c>
      <c r="I47" s="86"/>
      <c r="J47" s="37">
        <f>IPIL!AA29</f>
        <v>0</v>
      </c>
      <c r="K47" s="80"/>
      <c r="L47" s="37">
        <f>IPIL!AA30</f>
        <v>0</v>
      </c>
      <c r="M47" s="78"/>
      <c r="N47" s="37">
        <f>IPIL!AA27</f>
        <v>0</v>
      </c>
      <c r="O47" s="78"/>
      <c r="P47" s="76"/>
      <c r="Q47" s="76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</row>
    <row r="48" spans="1:37" ht="14.25" customHeight="1" x14ac:dyDescent="0.2">
      <c r="A48" s="26">
        <v>40</v>
      </c>
      <c r="B48" s="28" t="s">
        <v>32</v>
      </c>
      <c r="C48" s="28" t="s">
        <v>111</v>
      </c>
      <c r="D48" s="28" t="s">
        <v>79</v>
      </c>
      <c r="E48" s="29">
        <f>BUUG!G26</f>
        <v>0</v>
      </c>
      <c r="F48" s="26" t="s">
        <v>73</v>
      </c>
      <c r="G48" s="77"/>
      <c r="H48" s="37">
        <f>BUUG!G28</f>
        <v>0</v>
      </c>
      <c r="I48" s="84"/>
      <c r="J48" s="37">
        <f>BUUG!G29</f>
        <v>0</v>
      </c>
      <c r="K48" s="80"/>
      <c r="L48" s="37">
        <f>BUUG!G30</f>
        <v>0</v>
      </c>
      <c r="M48" s="78"/>
      <c r="N48" s="37">
        <f>BUUG!G27</f>
        <v>0</v>
      </c>
      <c r="O48" s="78"/>
      <c r="P48" s="76"/>
      <c r="Q48" s="76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</row>
    <row r="49" spans="1:37" ht="14.25" customHeight="1" x14ac:dyDescent="0.2">
      <c r="A49" s="26">
        <v>41</v>
      </c>
      <c r="B49" s="28" t="s">
        <v>112</v>
      </c>
      <c r="C49" s="28" t="s">
        <v>111</v>
      </c>
      <c r="D49" s="28" t="s">
        <v>67</v>
      </c>
      <c r="E49" s="29">
        <f>ZAMBOANGA!AM26</f>
        <v>0</v>
      </c>
      <c r="F49" s="26" t="s">
        <v>73</v>
      </c>
      <c r="G49" s="79"/>
      <c r="H49" s="37">
        <f>ZAMBOANGA!AM28</f>
        <v>0</v>
      </c>
      <c r="I49" s="84"/>
      <c r="J49" s="37">
        <f>ZAMBOANGA!AM29</f>
        <v>0</v>
      </c>
      <c r="K49" s="80"/>
      <c r="L49" s="37">
        <f>ZAMBOANGA!AM30</f>
        <v>0</v>
      </c>
      <c r="M49" s="78"/>
      <c r="N49" s="37">
        <f>ZAMBOANGA!AM27</f>
        <v>0</v>
      </c>
      <c r="O49" s="78"/>
      <c r="P49" s="76"/>
      <c r="Q49" s="76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</row>
    <row r="50" spans="1:37" ht="14.25" customHeight="1" x14ac:dyDescent="0.2">
      <c r="A50" s="33">
        <v>42</v>
      </c>
      <c r="B50" s="28" t="s">
        <v>113</v>
      </c>
      <c r="C50" s="28" t="s">
        <v>111</v>
      </c>
      <c r="D50" s="28" t="s">
        <v>67</v>
      </c>
      <c r="E50" s="29">
        <f>ZAMBOANGA!AI26</f>
        <v>0</v>
      </c>
      <c r="F50" s="26" t="s">
        <v>73</v>
      </c>
      <c r="G50" s="78"/>
      <c r="H50" s="47">
        <f>ZAMBOANGA!AI28</f>
        <v>0</v>
      </c>
      <c r="I50" s="80"/>
      <c r="J50" s="48">
        <f>ZAMBOANGA!AI29</f>
        <v>0</v>
      </c>
      <c r="K50" s="80"/>
      <c r="L50" s="45">
        <f>ZAMBOANGA!AI30</f>
        <v>0</v>
      </c>
      <c r="M50" s="85"/>
      <c r="N50" s="47">
        <f>ZAMBOANGA!AI27</f>
        <v>0</v>
      </c>
      <c r="O50" s="78"/>
      <c r="P50" s="76"/>
      <c r="Q50" s="78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</row>
    <row r="51" spans="1:37" ht="14.25" customHeight="1" x14ac:dyDescent="0.2">
      <c r="A51" s="26">
        <v>43</v>
      </c>
      <c r="B51" s="28" t="s">
        <v>114</v>
      </c>
      <c r="C51" s="28" t="s">
        <v>111</v>
      </c>
      <c r="D51" s="28" t="s">
        <v>67</v>
      </c>
      <c r="E51" s="29">
        <f>ZAMBOANGA!CI26</f>
        <v>0</v>
      </c>
      <c r="F51" s="26" t="s">
        <v>73</v>
      </c>
      <c r="G51" s="78"/>
      <c r="H51" s="37">
        <f>ZAMBOANGA!CI28</f>
        <v>0</v>
      </c>
      <c r="I51" s="78"/>
      <c r="J51" s="37">
        <f>ZAMBOANGA!CI29</f>
        <v>0</v>
      </c>
      <c r="K51" s="80"/>
      <c r="L51" s="37">
        <f>ZAMBOANGA!CI30</f>
        <v>0</v>
      </c>
      <c r="M51" s="79"/>
      <c r="N51" s="37">
        <f>ZAMBOANGA!CI27</f>
        <v>0</v>
      </c>
      <c r="O51" s="78"/>
      <c r="P51" s="76"/>
      <c r="Q51" s="76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</row>
    <row r="52" spans="1:37" ht="14.25" customHeight="1" x14ac:dyDescent="0.2">
      <c r="A52" s="26">
        <v>44</v>
      </c>
      <c r="B52" s="28" t="s">
        <v>115</v>
      </c>
      <c r="C52" s="28" t="s">
        <v>111</v>
      </c>
      <c r="D52" s="28" t="s">
        <v>67</v>
      </c>
      <c r="E52" s="29">
        <f>ZAMBOANGA!CY26</f>
        <v>0</v>
      </c>
      <c r="F52" s="26" t="s">
        <v>73</v>
      </c>
      <c r="G52" s="78"/>
      <c r="H52" s="37">
        <f>ZAMBOANGA!CY28</f>
        <v>0</v>
      </c>
      <c r="I52" s="80"/>
      <c r="J52" s="37">
        <f>ZAMBOANGA!CY29</f>
        <v>0</v>
      </c>
      <c r="K52" s="80"/>
      <c r="L52" s="37">
        <f>ZAMBOANGA!CY30</f>
        <v>0</v>
      </c>
      <c r="M52" s="78"/>
      <c r="N52" s="37">
        <f>ZAMBOANGA!CY27</f>
        <v>0</v>
      </c>
      <c r="O52" s="78"/>
      <c r="P52" s="76"/>
      <c r="Q52" s="78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</row>
    <row r="53" spans="1:37" ht="18" customHeight="1" x14ac:dyDescent="0.2">
      <c r="A53" s="26">
        <v>45</v>
      </c>
      <c r="B53" s="4" t="s">
        <v>116</v>
      </c>
      <c r="C53" s="28" t="s">
        <v>111</v>
      </c>
      <c r="D53" s="49" t="s">
        <v>67</v>
      </c>
      <c r="E53" s="29">
        <f>ZAMBOANGA!AU26</f>
        <v>0</v>
      </c>
      <c r="F53" s="26" t="s">
        <v>73</v>
      </c>
      <c r="G53" s="78"/>
      <c r="H53" s="37">
        <f>ZAMBOANGA!AU28</f>
        <v>0</v>
      </c>
      <c r="I53" s="78"/>
      <c r="J53" s="37">
        <f>ZAMBOANGA!AU29</f>
        <v>0</v>
      </c>
      <c r="K53" s="80"/>
      <c r="L53" s="37">
        <f>ZAMBOANGA!AU30</f>
        <v>0</v>
      </c>
      <c r="M53" s="78"/>
      <c r="N53" s="37">
        <f>ZAMBOANGA!AU27</f>
        <v>0</v>
      </c>
      <c r="O53" s="78"/>
      <c r="P53" s="76"/>
      <c r="Q53" s="76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</row>
    <row r="54" spans="1:37" ht="18" customHeight="1" x14ac:dyDescent="0.2">
      <c r="A54" s="26">
        <v>46</v>
      </c>
      <c r="B54" s="28" t="s">
        <v>117</v>
      </c>
      <c r="C54" s="28" t="s">
        <v>111</v>
      </c>
      <c r="D54" s="50" t="s">
        <v>67</v>
      </c>
      <c r="E54" s="29">
        <f>ZAMBOANGA!BC26</f>
        <v>0</v>
      </c>
      <c r="F54" s="26" t="s">
        <v>73</v>
      </c>
      <c r="G54" s="82"/>
      <c r="H54" s="37">
        <f>ZAMBOANGA!BC28</f>
        <v>0</v>
      </c>
      <c r="I54" s="80"/>
      <c r="J54" s="37">
        <f>ZAMBOANGA!BC29</f>
        <v>0</v>
      </c>
      <c r="K54" s="80"/>
      <c r="L54" s="37">
        <f>ZAMBOANGA!BC30</f>
        <v>0</v>
      </c>
      <c r="M54" s="78"/>
      <c r="N54" s="37">
        <f>ZAMBOANGA!BC27</f>
        <v>0</v>
      </c>
      <c r="O54" s="78"/>
      <c r="P54" s="76"/>
      <c r="Q54" s="76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</row>
    <row r="55" spans="1:37" ht="14.25" customHeight="1" x14ac:dyDescent="0.2">
      <c r="A55" s="33">
        <v>47</v>
      </c>
      <c r="B55" s="28" t="s">
        <v>118</v>
      </c>
      <c r="C55" s="28" t="s">
        <v>111</v>
      </c>
      <c r="D55" s="28" t="s">
        <v>67</v>
      </c>
      <c r="E55" s="29">
        <f>ZAMBOANGA!AQ26</f>
        <v>0</v>
      </c>
      <c r="F55" s="26" t="s">
        <v>73</v>
      </c>
      <c r="G55" s="80"/>
      <c r="H55" s="37">
        <f>ZAMBOANGA!AQ28</f>
        <v>0</v>
      </c>
      <c r="I55" s="80"/>
      <c r="J55" s="37">
        <f>ZAMBOANGA!AQ29</f>
        <v>0</v>
      </c>
      <c r="K55" s="80"/>
      <c r="L55" s="37">
        <f>ZAMBOANGA!AQ30</f>
        <v>0</v>
      </c>
      <c r="M55" s="87"/>
      <c r="N55" s="37">
        <f>ZAMBOANGA!AQ27</f>
        <v>0</v>
      </c>
      <c r="O55" s="78"/>
      <c r="P55" s="76"/>
      <c r="Q55" s="76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</row>
    <row r="56" spans="1:37" ht="14.25" customHeight="1" x14ac:dyDescent="0.2">
      <c r="A56" s="26">
        <v>48</v>
      </c>
      <c r="B56" s="14" t="s">
        <v>52</v>
      </c>
      <c r="C56" s="28" t="s">
        <v>111</v>
      </c>
      <c r="D56" s="28" t="s">
        <v>17</v>
      </c>
      <c r="E56" s="29">
        <f>TANGUB!O26</f>
        <v>0</v>
      </c>
      <c r="F56" s="26" t="s">
        <v>73</v>
      </c>
      <c r="G56" s="80"/>
      <c r="H56" s="37">
        <f>TANGUB!O28</f>
        <v>0</v>
      </c>
      <c r="I56" s="80"/>
      <c r="J56" s="37">
        <f>TANGUB!O29</f>
        <v>0</v>
      </c>
      <c r="K56" s="80"/>
      <c r="L56" s="37">
        <f>TANGUB!O30</f>
        <v>0</v>
      </c>
      <c r="M56" s="87"/>
      <c r="N56" s="37">
        <f>TANGUB!O27</f>
        <v>0</v>
      </c>
      <c r="O56" s="78"/>
      <c r="P56" s="76"/>
      <c r="Q56" s="76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</row>
    <row r="57" spans="1:37" ht="14.25" customHeight="1" x14ac:dyDescent="0.2">
      <c r="A57" s="26">
        <v>49</v>
      </c>
      <c r="B57" s="14" t="s">
        <v>119</v>
      </c>
      <c r="C57" s="28" t="s">
        <v>120</v>
      </c>
      <c r="D57" s="28" t="s">
        <v>107</v>
      </c>
      <c r="E57" s="29">
        <f>ZAMBOANGA!BK26</f>
        <v>0</v>
      </c>
      <c r="F57" s="26" t="s">
        <v>73</v>
      </c>
      <c r="G57" s="80"/>
      <c r="H57" s="45">
        <f>ZAMBOANGA!BK28</f>
        <v>0</v>
      </c>
      <c r="I57" s="80"/>
      <c r="J57" s="37">
        <f>ZAMBOANGA!BK29</f>
        <v>0</v>
      </c>
      <c r="K57" s="80"/>
      <c r="L57" s="37">
        <f>ZAMBOANGA!BK30</f>
        <v>0</v>
      </c>
      <c r="M57" s="78"/>
      <c r="N57" s="45">
        <f>ZAMBOANGA!BK27</f>
        <v>0</v>
      </c>
      <c r="O57" s="76"/>
      <c r="P57" s="76"/>
      <c r="Q57" s="76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</row>
    <row r="58" spans="1:37" ht="14.25" customHeight="1" x14ac:dyDescent="0.2">
      <c r="A58" s="26">
        <v>50</v>
      </c>
      <c r="B58" s="28" t="s">
        <v>54</v>
      </c>
      <c r="C58" s="28" t="s">
        <v>120</v>
      </c>
      <c r="D58" s="28" t="s">
        <v>15</v>
      </c>
      <c r="E58" s="29">
        <f>PAGADIAN!W26</f>
        <v>0</v>
      </c>
      <c r="F58" s="26" t="s">
        <v>73</v>
      </c>
      <c r="G58" s="80"/>
      <c r="H58" s="45">
        <f>PAGADIAN!AE28</f>
        <v>0</v>
      </c>
      <c r="I58" s="80"/>
      <c r="J58" s="37">
        <f>PAGADIAN!AE29</f>
        <v>0</v>
      </c>
      <c r="K58" s="80"/>
      <c r="L58" s="37">
        <f>PAGADIAN!AE30</f>
        <v>0</v>
      </c>
      <c r="M58" s="78"/>
      <c r="N58" s="45">
        <f>PAGADIAN!AE27</f>
        <v>0</v>
      </c>
      <c r="O58" s="78"/>
      <c r="P58" s="76"/>
      <c r="Q58" s="76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</row>
    <row r="59" spans="1:37" ht="14.25" customHeight="1" x14ac:dyDescent="0.2">
      <c r="A59" s="26">
        <v>51</v>
      </c>
      <c r="B59" s="28" t="s">
        <v>49</v>
      </c>
      <c r="C59" s="28" t="s">
        <v>120</v>
      </c>
      <c r="D59" s="28" t="s">
        <v>15</v>
      </c>
      <c r="E59" s="29">
        <f>PAGADIAN!O26</f>
        <v>0</v>
      </c>
      <c r="F59" s="26" t="s">
        <v>73</v>
      </c>
      <c r="G59" s="80"/>
      <c r="H59" s="45">
        <f>PAGADIAN!W28</f>
        <v>0</v>
      </c>
      <c r="I59" s="80"/>
      <c r="J59" s="37">
        <f>PAGADIAN!W29</f>
        <v>0</v>
      </c>
      <c r="K59" s="80"/>
      <c r="L59" s="37">
        <f>PAGADIAN!W30</f>
        <v>0</v>
      </c>
      <c r="M59" s="78"/>
      <c r="N59" s="45">
        <f>PAGADIAN!W27</f>
        <v>0</v>
      </c>
      <c r="O59" s="78"/>
      <c r="P59" s="76"/>
      <c r="Q59" s="76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</row>
    <row r="60" spans="1:37" ht="14.25" customHeight="1" x14ac:dyDescent="0.2">
      <c r="A60" s="33">
        <v>52</v>
      </c>
      <c r="B60" s="28" t="s">
        <v>121</v>
      </c>
      <c r="C60" s="28" t="s">
        <v>120</v>
      </c>
      <c r="D60" s="28" t="s">
        <v>62</v>
      </c>
      <c r="E60" s="29">
        <f>OROQUIETA!G26</f>
        <v>0</v>
      </c>
      <c r="F60" s="26" t="s">
        <v>53</v>
      </c>
      <c r="G60" s="78"/>
      <c r="H60" s="45">
        <f>OROQUIETA!G28</f>
        <v>0</v>
      </c>
      <c r="I60" s="80"/>
      <c r="J60" s="37">
        <f>OROQUIETA!G29</f>
        <v>0</v>
      </c>
      <c r="K60" s="80"/>
      <c r="L60" s="37">
        <f>OROQUIETA!G30</f>
        <v>0</v>
      </c>
      <c r="M60" s="87"/>
      <c r="N60" s="37">
        <f>OROQUIETA!G27</f>
        <v>0</v>
      </c>
      <c r="O60" s="78"/>
      <c r="P60" s="76"/>
      <c r="Q60" s="76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</row>
    <row r="61" spans="1:37" ht="14.25" customHeight="1" x14ac:dyDescent="0.2">
      <c r="A61" s="26">
        <v>53</v>
      </c>
      <c r="B61" s="28" t="s">
        <v>122</v>
      </c>
      <c r="C61" s="28" t="s">
        <v>120</v>
      </c>
      <c r="D61" s="28" t="s">
        <v>62</v>
      </c>
      <c r="E61" s="29">
        <f>OROQUIETA!S26</f>
        <v>0</v>
      </c>
      <c r="F61" s="26" t="s">
        <v>53</v>
      </c>
      <c r="G61" s="80"/>
      <c r="H61" s="45">
        <f>OROQUIETA!S28</f>
        <v>0</v>
      </c>
      <c r="I61" s="80"/>
      <c r="J61" s="37">
        <f>OROQUIETA!S29</f>
        <v>0</v>
      </c>
      <c r="K61" s="80"/>
      <c r="L61" s="37">
        <f>OROQUIETA!S30</f>
        <v>0</v>
      </c>
      <c r="M61" s="88"/>
      <c r="N61" s="37">
        <f>OROQUIETA!S27</f>
        <v>0</v>
      </c>
      <c r="O61" s="78"/>
      <c r="P61" s="76"/>
      <c r="Q61" s="76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</row>
    <row r="62" spans="1:37" ht="14.25" customHeight="1" x14ac:dyDescent="0.2">
      <c r="A62" s="26">
        <v>54</v>
      </c>
      <c r="B62" s="28" t="s">
        <v>51</v>
      </c>
      <c r="C62" s="28" t="s">
        <v>120</v>
      </c>
      <c r="D62" s="28" t="s">
        <v>15</v>
      </c>
      <c r="E62" s="29">
        <f>PAGADIAN!S26</f>
        <v>0</v>
      </c>
      <c r="F62" s="26" t="s">
        <v>73</v>
      </c>
      <c r="G62" s="80"/>
      <c r="H62" s="37">
        <f>PAGADIAN!S28</f>
        <v>0</v>
      </c>
      <c r="I62" s="80"/>
      <c r="J62" s="37">
        <f>PAGADIAN!S29</f>
        <v>0</v>
      </c>
      <c r="K62" s="80"/>
      <c r="L62" s="37">
        <f>PAGADIAN!S30</f>
        <v>0</v>
      </c>
      <c r="M62" s="84"/>
      <c r="N62" s="37">
        <f>PAGADIAN!S27</f>
        <v>0</v>
      </c>
      <c r="O62" s="78"/>
      <c r="P62" s="76"/>
      <c r="Q62" s="76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</row>
    <row r="63" spans="1:37" ht="14.25" customHeight="1" x14ac:dyDescent="0.2">
      <c r="A63" s="28"/>
      <c r="B63" s="28"/>
      <c r="C63" s="28"/>
      <c r="D63" s="28"/>
      <c r="E63" s="28"/>
      <c r="F63" s="28"/>
      <c r="G63" s="76"/>
      <c r="H63" s="28"/>
      <c r="I63" s="76"/>
      <c r="J63" s="28"/>
      <c r="K63" s="76"/>
      <c r="L63" s="28"/>
      <c r="M63" s="89"/>
      <c r="N63" s="28"/>
      <c r="O63" s="76"/>
      <c r="P63" s="28"/>
      <c r="Q63" s="76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</row>
    <row r="64" spans="1:37" ht="12.75" customHeight="1" x14ac:dyDescent="0.2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51"/>
      <c r="N64" s="28"/>
      <c r="O64" s="28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</row>
    <row r="65" spans="1:37" ht="12.75" customHeight="1" x14ac:dyDescent="0.2">
      <c r="A65" s="134" t="s">
        <v>20</v>
      </c>
      <c r="B65" s="134" t="s">
        <v>21</v>
      </c>
      <c r="C65" s="134" t="s">
        <v>22</v>
      </c>
      <c r="D65" s="134" t="s">
        <v>10</v>
      </c>
      <c r="E65" s="134" t="s">
        <v>123</v>
      </c>
      <c r="F65" s="17"/>
      <c r="G65" s="142" t="s">
        <v>30</v>
      </c>
      <c r="H65" s="123"/>
      <c r="I65" s="145" t="s">
        <v>31</v>
      </c>
      <c r="J65" s="123"/>
      <c r="K65" s="169" t="s">
        <v>124</v>
      </c>
      <c r="L65" s="159" t="s">
        <v>33</v>
      </c>
      <c r="M65" s="160"/>
      <c r="N65" s="160"/>
      <c r="O65" s="161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</row>
    <row r="66" spans="1:37" ht="14.25" customHeight="1" x14ac:dyDescent="0.2">
      <c r="A66" s="135"/>
      <c r="B66" s="135"/>
      <c r="C66" s="135"/>
      <c r="D66" s="135"/>
      <c r="E66" s="135"/>
      <c r="F66" s="136"/>
      <c r="G66" s="133" t="s">
        <v>25</v>
      </c>
      <c r="H66" s="133" t="s">
        <v>39</v>
      </c>
      <c r="I66" s="139" t="s">
        <v>25</v>
      </c>
      <c r="J66" s="139" t="s">
        <v>38</v>
      </c>
      <c r="K66" s="135"/>
      <c r="L66" s="162"/>
      <c r="M66" s="149"/>
      <c r="N66" s="149"/>
      <c r="O66" s="163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</row>
    <row r="67" spans="1:37" ht="14.25" customHeight="1" x14ac:dyDescent="0.2">
      <c r="A67" s="132"/>
      <c r="B67" s="132"/>
      <c r="C67" s="132"/>
      <c r="D67" s="132"/>
      <c r="E67" s="132"/>
      <c r="F67" s="132"/>
      <c r="G67" s="132"/>
      <c r="H67" s="132"/>
      <c r="I67" s="132"/>
      <c r="J67" s="132"/>
      <c r="K67" s="132"/>
      <c r="L67" s="164"/>
      <c r="M67" s="152"/>
      <c r="N67" s="152"/>
      <c r="O67" s="165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</row>
    <row r="68" spans="1:37" ht="14.25" customHeight="1" x14ac:dyDescent="0.2">
      <c r="A68" s="26">
        <v>1</v>
      </c>
      <c r="B68" s="52" t="s">
        <v>58</v>
      </c>
      <c r="C68" s="52" t="s">
        <v>125</v>
      </c>
      <c r="D68" s="53" t="s">
        <v>15</v>
      </c>
      <c r="E68" s="54">
        <f>PAGADIAN!AI25</f>
        <v>0</v>
      </c>
      <c r="F68" s="28"/>
      <c r="G68" s="28"/>
      <c r="H68" s="55">
        <f>PAGADIAN!O28</f>
        <v>0</v>
      </c>
      <c r="I68" s="28"/>
      <c r="J68" s="55">
        <f>PAGADIAN!O29</f>
        <v>0</v>
      </c>
      <c r="K68" s="56">
        <v>46162</v>
      </c>
      <c r="L68" s="158"/>
      <c r="M68" s="122"/>
      <c r="N68" s="122"/>
      <c r="O68" s="123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</row>
    <row r="69" spans="1:37" ht="14.25" customHeight="1" x14ac:dyDescent="0.2">
      <c r="A69" s="26">
        <v>2</v>
      </c>
      <c r="B69" s="52" t="s">
        <v>168</v>
      </c>
      <c r="C69" s="52" t="s">
        <v>85</v>
      </c>
      <c r="D69" s="53" t="s">
        <v>15</v>
      </c>
      <c r="E69" s="54">
        <f>PAGADIAN!AI26</f>
        <v>0</v>
      </c>
      <c r="F69" s="28"/>
      <c r="G69" s="28"/>
      <c r="H69" s="55">
        <f>PAGADIAN!O29</f>
        <v>0</v>
      </c>
      <c r="I69" s="28"/>
      <c r="J69" s="55">
        <f>PAGADIAN!O30</f>
        <v>0</v>
      </c>
      <c r="K69" s="56">
        <v>46296</v>
      </c>
      <c r="L69" s="158"/>
      <c r="M69" s="122"/>
      <c r="N69" s="122"/>
      <c r="O69" s="123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</row>
    <row r="70" spans="1:37" ht="14.25" customHeight="1" x14ac:dyDescent="0.2">
      <c r="A70" s="166" t="s">
        <v>126</v>
      </c>
      <c r="B70" s="152"/>
      <c r="C70" s="152"/>
      <c r="D70" s="152"/>
      <c r="E70" s="152"/>
      <c r="F70" s="152"/>
      <c r="G70" s="152"/>
      <c r="H70" s="152"/>
      <c r="I70" s="152"/>
      <c r="J70" s="152"/>
      <c r="K70" s="152"/>
      <c r="L70" s="152"/>
      <c r="M70" s="152"/>
      <c r="N70" s="152"/>
      <c r="O70" s="152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</row>
    <row r="71" spans="1:37" ht="14.25" customHeight="1" x14ac:dyDescent="0.2">
      <c r="A71" s="58" t="s">
        <v>127</v>
      </c>
      <c r="B71" s="167" t="s">
        <v>128</v>
      </c>
      <c r="C71" s="122"/>
      <c r="D71" s="123"/>
      <c r="E71" s="168" t="s">
        <v>129</v>
      </c>
      <c r="F71" s="122"/>
      <c r="G71" s="122"/>
      <c r="H71" s="122"/>
      <c r="I71" s="123"/>
      <c r="J71" s="168" t="s">
        <v>130</v>
      </c>
      <c r="K71" s="122"/>
      <c r="L71" s="122"/>
      <c r="M71" s="122"/>
      <c r="N71" s="122"/>
      <c r="O71" s="123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</row>
    <row r="72" spans="1:37" ht="12.75" customHeight="1" x14ac:dyDescent="0.2">
      <c r="A72" s="26">
        <v>1</v>
      </c>
      <c r="B72" s="158"/>
      <c r="C72" s="122"/>
      <c r="D72" s="123"/>
      <c r="E72" s="158"/>
      <c r="F72" s="122"/>
      <c r="G72" s="122"/>
      <c r="H72" s="122"/>
      <c r="I72" s="123"/>
      <c r="J72" s="158"/>
      <c r="K72" s="122"/>
      <c r="L72" s="122"/>
      <c r="M72" s="122"/>
      <c r="N72" s="122"/>
      <c r="O72" s="123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</row>
    <row r="73" spans="1:37" ht="14.25" customHeight="1" x14ac:dyDescent="0.2">
      <c r="A73" s="26">
        <v>2</v>
      </c>
      <c r="B73" s="158"/>
      <c r="C73" s="122"/>
      <c r="D73" s="123"/>
      <c r="E73" s="158"/>
      <c r="F73" s="122"/>
      <c r="G73" s="122"/>
      <c r="H73" s="122"/>
      <c r="I73" s="123"/>
      <c r="J73" s="158"/>
      <c r="K73" s="122"/>
      <c r="L73" s="122"/>
      <c r="M73" s="122"/>
      <c r="N73" s="122"/>
      <c r="O73" s="123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</row>
    <row r="74" spans="1:37" ht="14.25" customHeight="1" x14ac:dyDescent="0.2">
      <c r="A74" s="26">
        <v>3</v>
      </c>
      <c r="B74" s="158"/>
      <c r="C74" s="122"/>
      <c r="D74" s="123"/>
      <c r="E74" s="158"/>
      <c r="F74" s="122"/>
      <c r="G74" s="122"/>
      <c r="H74" s="122"/>
      <c r="I74" s="123"/>
      <c r="J74" s="158"/>
      <c r="K74" s="122"/>
      <c r="L74" s="122"/>
      <c r="M74" s="122"/>
      <c r="N74" s="122"/>
      <c r="O74" s="123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</row>
    <row r="75" spans="1:37" ht="14.25" customHeight="1" x14ac:dyDescent="0.2">
      <c r="A75" s="153"/>
      <c r="B75" s="149"/>
      <c r="C75" s="149"/>
      <c r="D75" s="149"/>
      <c r="E75" s="149"/>
      <c r="F75" s="149"/>
      <c r="G75" s="149"/>
      <c r="H75" s="149"/>
      <c r="I75" s="149"/>
      <c r="J75" s="149"/>
      <c r="K75" s="149"/>
      <c r="L75" s="149"/>
      <c r="M75" s="149"/>
      <c r="N75" s="149"/>
      <c r="O75" s="149"/>
      <c r="P75" s="149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</row>
    <row r="76" spans="1:37" ht="14.25" customHeight="1" x14ac:dyDescent="0.2">
      <c r="A76" s="4"/>
      <c r="B76" s="59" t="s">
        <v>131</v>
      </c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</row>
    <row r="77" spans="1:37" ht="14.25" customHeight="1" x14ac:dyDescent="0.2">
      <c r="A77" s="4"/>
      <c r="B77" s="57" t="s">
        <v>132</v>
      </c>
      <c r="C77" s="4" t="s">
        <v>133</v>
      </c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</row>
    <row r="78" spans="1:37" ht="14.25" customHeight="1" x14ac:dyDescent="0.2">
      <c r="A78" s="4"/>
      <c r="B78" s="59" t="s">
        <v>9</v>
      </c>
      <c r="C78" s="4"/>
      <c r="D78" s="4"/>
      <c r="E78" s="4"/>
      <c r="F78" s="4" t="s">
        <v>134</v>
      </c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</row>
    <row r="79" spans="1:37" ht="14.25" customHeight="1" x14ac:dyDescent="0.2">
      <c r="A79" s="4"/>
      <c r="B79" s="156" t="s">
        <v>135</v>
      </c>
      <c r="C79" s="149"/>
      <c r="D79" s="149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</row>
    <row r="80" spans="1:37" ht="14.25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</row>
    <row r="81" spans="1:37" ht="14.25" customHeight="1" x14ac:dyDescent="0.2">
      <c r="A81" s="4"/>
      <c r="B81" s="60" t="s">
        <v>136</v>
      </c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</row>
    <row r="82" spans="1:37" ht="14.25" customHeight="1" x14ac:dyDescent="0.2">
      <c r="A82" s="4"/>
      <c r="B82" s="4" t="s">
        <v>137</v>
      </c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</row>
    <row r="83" spans="1:37" ht="14.25" customHeight="1" x14ac:dyDescent="0.2">
      <c r="A83" s="4"/>
      <c r="B83" s="61" t="s">
        <v>138</v>
      </c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</row>
    <row r="84" spans="1:37" ht="14.25" customHeight="1" x14ac:dyDescent="0.2">
      <c r="A84" s="4"/>
      <c r="B84" s="61" t="s">
        <v>139</v>
      </c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</row>
    <row r="85" spans="1:37" ht="14.25" customHeight="1" x14ac:dyDescent="0.2">
      <c r="A85" s="4"/>
      <c r="B85" s="61" t="s">
        <v>140</v>
      </c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</row>
    <row r="86" spans="1:37" ht="14.25" customHeight="1" x14ac:dyDescent="0.2">
      <c r="A86" s="4"/>
      <c r="B86" s="4" t="s">
        <v>141</v>
      </c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</row>
    <row r="87" spans="1:37" ht="14.2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62" t="s">
        <v>142</v>
      </c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</row>
    <row r="88" spans="1:37" ht="14.25" customHeight="1" x14ac:dyDescent="0.2">
      <c r="A88" s="4"/>
      <c r="B88" s="4" t="s">
        <v>143</v>
      </c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</row>
    <row r="89" spans="1:37" ht="14.25" customHeight="1" x14ac:dyDescent="0.2">
      <c r="A89" s="4"/>
      <c r="B89" s="157" t="s">
        <v>144</v>
      </c>
      <c r="C89" s="122"/>
      <c r="D89" s="123"/>
      <c r="E89" s="157" t="s">
        <v>145</v>
      </c>
      <c r="F89" s="122"/>
      <c r="G89" s="122"/>
      <c r="H89" s="122"/>
      <c r="I89" s="123"/>
      <c r="J89" s="157" t="s">
        <v>146</v>
      </c>
      <c r="K89" s="122"/>
      <c r="L89" s="122"/>
      <c r="M89" s="122"/>
      <c r="N89" s="122"/>
      <c r="O89" s="123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</row>
    <row r="90" spans="1:37" ht="14.25" customHeight="1" x14ac:dyDescent="0.2">
      <c r="A90" s="4"/>
      <c r="B90" s="154" t="s">
        <v>147</v>
      </c>
      <c r="C90" s="122"/>
      <c r="D90" s="123"/>
      <c r="E90" s="155" t="s">
        <v>148</v>
      </c>
      <c r="F90" s="122"/>
      <c r="G90" s="122"/>
      <c r="H90" s="122"/>
      <c r="I90" s="123"/>
      <c r="J90" s="154" t="s">
        <v>149</v>
      </c>
      <c r="K90" s="122"/>
      <c r="L90" s="122"/>
      <c r="M90" s="122"/>
      <c r="N90" s="122"/>
      <c r="O90" s="123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</row>
    <row r="91" spans="1:37" ht="14.25" customHeight="1" x14ac:dyDescent="0.2">
      <c r="A91" s="4"/>
      <c r="B91" s="154" t="s">
        <v>150</v>
      </c>
      <c r="C91" s="122"/>
      <c r="D91" s="123"/>
      <c r="E91" s="155" t="s">
        <v>151</v>
      </c>
      <c r="F91" s="122"/>
      <c r="G91" s="122"/>
      <c r="H91" s="122"/>
      <c r="I91" s="123"/>
      <c r="J91" s="154" t="s">
        <v>152</v>
      </c>
      <c r="K91" s="122"/>
      <c r="L91" s="122"/>
      <c r="M91" s="122"/>
      <c r="N91" s="122"/>
      <c r="O91" s="123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</row>
    <row r="92" spans="1:37" ht="14.25" customHeight="1" x14ac:dyDescent="0.2">
      <c r="A92" s="4"/>
      <c r="B92" s="4" t="s">
        <v>153</v>
      </c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</row>
    <row r="93" spans="1:37" ht="14.25" customHeight="1" x14ac:dyDescent="0.2">
      <c r="A93" s="4"/>
      <c r="B93" s="4" t="s">
        <v>154</v>
      </c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</row>
    <row r="94" spans="1:37" ht="14.25" customHeight="1" x14ac:dyDescent="0.2">
      <c r="A94" s="4"/>
      <c r="B94" s="4" t="s">
        <v>155</v>
      </c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</row>
    <row r="95" spans="1:37" ht="14.25" customHeight="1" x14ac:dyDescent="0.2">
      <c r="A95" s="4"/>
      <c r="B95" s="63" t="s">
        <v>156</v>
      </c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</row>
    <row r="96" spans="1:37" ht="14.25" customHeight="1" x14ac:dyDescent="0.2">
      <c r="A96" s="4"/>
      <c r="B96" s="64" t="s">
        <v>157</v>
      </c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</row>
    <row r="97" spans="1:37" ht="14.2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</row>
    <row r="98" spans="1:37" ht="14.25" customHeight="1" x14ac:dyDescent="0.2">
      <c r="A98" s="4" t="s">
        <v>158</v>
      </c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</row>
    <row r="99" spans="1:37" ht="14.25" customHeight="1" x14ac:dyDescent="0.2">
      <c r="A99" s="4" t="s">
        <v>159</v>
      </c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</row>
    <row r="100" spans="1:37" ht="14.25" customHeight="1" x14ac:dyDescent="0.2">
      <c r="A100" s="4" t="s">
        <v>160</v>
      </c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</row>
    <row r="101" spans="1:37" ht="14.25" customHeight="1" x14ac:dyDescent="0.2">
      <c r="A101" s="4" t="s">
        <v>161</v>
      </c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</row>
    <row r="102" spans="1:37" ht="14.25" customHeight="1" x14ac:dyDescent="0.2">
      <c r="A102" s="4" t="s">
        <v>162</v>
      </c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</row>
    <row r="103" spans="1:37" ht="14.2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</row>
    <row r="104" spans="1:37" ht="14.2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</row>
    <row r="105" spans="1:37" ht="14.2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</row>
    <row r="106" spans="1:37" ht="14.2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</row>
    <row r="107" spans="1:37" ht="14.2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</row>
    <row r="108" spans="1:37" ht="14.2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</row>
    <row r="109" spans="1:37" ht="14.2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</row>
    <row r="110" spans="1:37" ht="14.2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</row>
    <row r="111" spans="1:37" ht="14.2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</row>
    <row r="112" spans="1:37" ht="14.2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</row>
    <row r="113" spans="1:37" ht="14.2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</row>
    <row r="114" spans="1:37" ht="14.2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</row>
    <row r="115" spans="1:37" ht="14.2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</row>
    <row r="116" spans="1:37" ht="14.2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</row>
    <row r="117" spans="1:37" ht="14.2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</row>
    <row r="118" spans="1:37" ht="14.2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</row>
    <row r="119" spans="1:37" ht="14.2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</row>
    <row r="120" spans="1:37" ht="14.2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</row>
    <row r="121" spans="1:37" ht="14.2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</row>
    <row r="122" spans="1:37" ht="14.2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</row>
    <row r="123" spans="1:37" ht="14.2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</row>
    <row r="124" spans="1:37" ht="14.2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</row>
    <row r="125" spans="1:37" ht="14.2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</row>
    <row r="126" spans="1:37" ht="14.2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</row>
    <row r="127" spans="1:37" ht="14.2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</row>
    <row r="128" spans="1:37" ht="14.2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</row>
    <row r="129" spans="1:37" ht="14.2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</row>
    <row r="130" spans="1:37" ht="14.2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</row>
    <row r="131" spans="1:37" ht="14.2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</row>
    <row r="132" spans="1:37" ht="14.2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</row>
    <row r="133" spans="1:37" ht="14.2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</row>
    <row r="134" spans="1:37" ht="14.2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</row>
    <row r="135" spans="1:37" ht="14.2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</row>
    <row r="136" spans="1:37" ht="14.2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</row>
    <row r="137" spans="1:37" ht="14.2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</row>
    <row r="138" spans="1:37" ht="14.2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</row>
    <row r="139" spans="1:37" ht="14.2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</row>
    <row r="140" spans="1:37" ht="14.2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</row>
    <row r="141" spans="1:37" ht="14.2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</row>
    <row r="142" spans="1:37" ht="14.2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</row>
    <row r="143" spans="1:37" ht="14.2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</row>
    <row r="144" spans="1:37" ht="14.2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</row>
    <row r="145" spans="1:37" ht="14.2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</row>
    <row r="146" spans="1:37" ht="14.2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</row>
    <row r="147" spans="1:37" ht="14.2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</row>
    <row r="148" spans="1:37" ht="14.2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</row>
    <row r="149" spans="1:37" ht="14.2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</row>
    <row r="150" spans="1:37" ht="14.2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</row>
    <row r="151" spans="1:37" ht="14.2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</row>
    <row r="152" spans="1:37" ht="14.2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</row>
    <row r="153" spans="1:37" ht="14.2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</row>
    <row r="154" spans="1:37" ht="14.2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</row>
    <row r="155" spans="1:37" ht="14.2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</row>
    <row r="156" spans="1:37" ht="14.2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</row>
    <row r="157" spans="1:37" ht="14.2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</row>
    <row r="158" spans="1:37" ht="14.2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</row>
    <row r="159" spans="1:37" ht="14.2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</row>
    <row r="160" spans="1:37" ht="14.2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</row>
    <row r="161" spans="1:37" ht="14.2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</row>
    <row r="162" spans="1:37" ht="14.2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</row>
    <row r="163" spans="1:37" ht="14.2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</row>
    <row r="164" spans="1:37" ht="14.2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</row>
    <row r="165" spans="1:37" ht="14.2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</row>
    <row r="166" spans="1:37" ht="14.2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</row>
    <row r="167" spans="1:37" ht="14.2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</row>
    <row r="168" spans="1:37" ht="14.2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</row>
    <row r="169" spans="1:37" ht="14.2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</row>
    <row r="170" spans="1:37" ht="14.2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</row>
    <row r="171" spans="1:37" ht="14.2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</row>
    <row r="172" spans="1:37" ht="14.2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</row>
    <row r="173" spans="1:37" ht="14.2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</row>
    <row r="174" spans="1:37" ht="14.2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</row>
    <row r="175" spans="1:37" ht="14.2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</row>
    <row r="176" spans="1:37" ht="14.2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</row>
    <row r="177" spans="1:37" ht="14.2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</row>
    <row r="178" spans="1:37" ht="14.2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</row>
    <row r="179" spans="1:37" ht="14.2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</row>
    <row r="180" spans="1:37" ht="14.2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</row>
    <row r="181" spans="1:37" ht="14.2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</row>
    <row r="182" spans="1:37" ht="14.2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</row>
    <row r="183" spans="1:37" ht="14.2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</row>
    <row r="184" spans="1:37" ht="14.2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</row>
    <row r="185" spans="1:37" ht="14.2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</row>
    <row r="186" spans="1:37" ht="14.2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</row>
    <row r="187" spans="1:37" ht="14.2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</row>
    <row r="188" spans="1:37" ht="14.2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</row>
    <row r="189" spans="1:37" ht="14.2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</row>
    <row r="190" spans="1:37" ht="14.2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</row>
    <row r="191" spans="1:37" ht="14.2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</row>
    <row r="192" spans="1:37" ht="14.2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</row>
    <row r="193" spans="1:37" ht="14.2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</row>
    <row r="194" spans="1:37" ht="14.2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</row>
    <row r="195" spans="1:37" ht="14.2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</row>
    <row r="196" spans="1:37" ht="14.2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</row>
    <row r="197" spans="1:37" ht="14.2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</row>
    <row r="198" spans="1:37" ht="14.2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</row>
    <row r="199" spans="1:37" ht="14.2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</row>
    <row r="200" spans="1:37" ht="14.2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</row>
    <row r="201" spans="1:37" ht="14.2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</row>
    <row r="202" spans="1:37" ht="14.2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</row>
    <row r="203" spans="1:37" ht="14.2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</row>
    <row r="204" spans="1:37" ht="14.2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</row>
    <row r="205" spans="1:37" ht="14.2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</row>
    <row r="206" spans="1:37" ht="14.25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</row>
    <row r="207" spans="1:37" ht="14.25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</row>
    <row r="208" spans="1:37" ht="14.25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</row>
    <row r="209" spans="1:37" ht="14.25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</row>
    <row r="210" spans="1:37" ht="14.25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</row>
    <row r="211" spans="1:37" ht="14.25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</row>
    <row r="212" spans="1:37" ht="14.25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</row>
    <row r="213" spans="1:37" ht="14.25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</row>
    <row r="214" spans="1:37" ht="14.25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</row>
    <row r="215" spans="1:37" ht="14.25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</row>
    <row r="216" spans="1:37" ht="14.25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</row>
    <row r="217" spans="1:37" ht="14.25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</row>
    <row r="218" spans="1:37" ht="14.25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</row>
    <row r="219" spans="1:37" ht="14.25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</row>
    <row r="220" spans="1:37" ht="14.25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</row>
    <row r="221" spans="1:37" ht="14.25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</row>
    <row r="222" spans="1:37" ht="14.25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</row>
    <row r="223" spans="1:37" ht="14.25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</row>
    <row r="224" spans="1:37" ht="14.25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</row>
    <row r="225" spans="1:37" ht="14.25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</row>
    <row r="226" spans="1:37" ht="14.25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</row>
    <row r="227" spans="1:37" ht="14.25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</row>
    <row r="228" spans="1:37" ht="14.25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</row>
    <row r="229" spans="1:37" ht="14.25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</row>
    <row r="230" spans="1:37" ht="14.25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</row>
    <row r="231" spans="1:37" ht="14.25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</row>
    <row r="232" spans="1:37" ht="14.25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</row>
    <row r="233" spans="1:37" ht="14.25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</row>
    <row r="234" spans="1:37" ht="14.25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</row>
    <row r="235" spans="1:37" ht="14.25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</row>
    <row r="236" spans="1:37" ht="14.25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</row>
    <row r="237" spans="1:37" ht="14.25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</row>
    <row r="238" spans="1:37" ht="14.25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</row>
    <row r="239" spans="1:37" ht="14.25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</row>
    <row r="240" spans="1:37" ht="14.25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</row>
    <row r="241" spans="1:37" ht="14.25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</row>
    <row r="242" spans="1:37" ht="14.25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</row>
    <row r="243" spans="1:37" ht="14.25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</row>
    <row r="244" spans="1:37" ht="14.25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</row>
    <row r="245" spans="1:37" ht="14.25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</row>
    <row r="246" spans="1:37" ht="14.25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</row>
    <row r="247" spans="1:37" ht="14.25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</row>
    <row r="248" spans="1:37" ht="14.25" customHeight="1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</row>
    <row r="249" spans="1:37" ht="14.25" customHeight="1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</row>
    <row r="250" spans="1:37" ht="14.25" customHeight="1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</row>
    <row r="251" spans="1:37" ht="14.25" customHeight="1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</row>
    <row r="252" spans="1:37" ht="14.25" customHeight="1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</row>
    <row r="253" spans="1:37" ht="14.25" customHeight="1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</row>
    <row r="254" spans="1:37" ht="14.25" customHeight="1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</row>
    <row r="255" spans="1:37" ht="14.25" customHeight="1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</row>
    <row r="256" spans="1:37" ht="14.25" customHeight="1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</row>
    <row r="257" spans="1:37" ht="14.25" customHeight="1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</row>
    <row r="258" spans="1:37" ht="14.25" customHeight="1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</row>
    <row r="259" spans="1:37" ht="14.25" customHeight="1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</row>
    <row r="260" spans="1:37" ht="14.25" customHeight="1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</row>
    <row r="261" spans="1:37" ht="14.25" customHeight="1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</row>
    <row r="262" spans="1:37" ht="14.25" customHeight="1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</row>
    <row r="263" spans="1:37" ht="14.25" customHeight="1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</row>
    <row r="264" spans="1:37" ht="14.25" customHeight="1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</row>
    <row r="265" spans="1:37" ht="14.25" customHeight="1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</row>
    <row r="266" spans="1:37" ht="14.25" customHeight="1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</row>
    <row r="267" spans="1:37" ht="14.25" customHeight="1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</row>
    <row r="268" spans="1:37" ht="14.25" customHeight="1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</row>
    <row r="269" spans="1:37" ht="14.25" customHeight="1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</row>
    <row r="270" spans="1:37" ht="14.25" customHeight="1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</row>
    <row r="271" spans="1:37" ht="14.25" customHeight="1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</row>
    <row r="272" spans="1:37" ht="14.25" customHeight="1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</row>
    <row r="273" spans="1:37" ht="14.25" customHeight="1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</row>
    <row r="274" spans="1:37" ht="14.25" customHeight="1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</row>
    <row r="275" spans="1:37" ht="14.25" customHeight="1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</row>
    <row r="276" spans="1:37" ht="14.25" customHeight="1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</row>
    <row r="277" spans="1:37" ht="14.25" customHeight="1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</row>
    <row r="278" spans="1:37" ht="14.25" customHeight="1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</row>
    <row r="279" spans="1:37" ht="14.25" customHeight="1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</row>
    <row r="280" spans="1:37" ht="14.25" customHeight="1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</row>
    <row r="281" spans="1:37" ht="14.25" customHeight="1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</row>
    <row r="282" spans="1:37" ht="14.25" customHeight="1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</row>
    <row r="283" spans="1:37" ht="14.25" customHeight="1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</row>
    <row r="284" spans="1:37" ht="14.25" customHeight="1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</row>
    <row r="285" spans="1:37" ht="14.25" customHeight="1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</row>
    <row r="286" spans="1:37" ht="14.25" customHeight="1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</row>
    <row r="287" spans="1:37" ht="14.25" customHeight="1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</row>
    <row r="288" spans="1:37" ht="14.25" customHeight="1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</row>
    <row r="289" spans="1:37" ht="14.25" customHeight="1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</row>
    <row r="290" spans="1:37" ht="14.25" customHeight="1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</row>
    <row r="291" spans="1:37" ht="14.25" customHeight="1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</row>
    <row r="292" spans="1:37" ht="14.25" customHeight="1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</row>
    <row r="293" spans="1:37" ht="14.25" customHeight="1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</row>
    <row r="294" spans="1:37" ht="14.25" customHeight="1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</row>
    <row r="295" spans="1:37" ht="14.25" customHeight="1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</row>
    <row r="296" spans="1:37" ht="14.25" customHeight="1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</row>
    <row r="297" spans="1:37" ht="14.25" customHeight="1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</row>
    <row r="298" spans="1:37" ht="14.25" customHeight="1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</row>
    <row r="299" spans="1:37" ht="14.25" customHeight="1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</row>
    <row r="300" spans="1:37" ht="14.25" customHeight="1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</row>
    <row r="301" spans="1:37" ht="14.25" customHeight="1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</row>
    <row r="302" spans="1:37" ht="14.25" customHeight="1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</row>
    <row r="303" spans="1:37" ht="14.25" customHeight="1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</row>
    <row r="304" spans="1:37" ht="14.25" customHeight="1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</row>
    <row r="305" spans="1:37" ht="14.25" customHeight="1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</row>
    <row r="306" spans="1:37" ht="14.25" customHeight="1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</row>
    <row r="307" spans="1:37" ht="14.25" customHeight="1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</row>
    <row r="308" spans="1:37" ht="14.25" customHeight="1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</row>
    <row r="309" spans="1:37" ht="14.25" customHeight="1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</row>
    <row r="310" spans="1:37" ht="14.25" customHeight="1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</row>
    <row r="311" spans="1:37" ht="14.25" customHeight="1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</row>
    <row r="312" spans="1:37" ht="14.25" customHeight="1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</row>
    <row r="313" spans="1:37" ht="14.25" customHeight="1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</row>
    <row r="314" spans="1:37" ht="14.25" customHeight="1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</row>
    <row r="315" spans="1:37" ht="14.25" customHeight="1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</row>
    <row r="316" spans="1:37" ht="14.25" customHeight="1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</row>
    <row r="317" spans="1:37" ht="14.25" customHeight="1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</row>
    <row r="318" spans="1:37" ht="14.25" customHeight="1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</row>
    <row r="319" spans="1:37" ht="14.25" customHeight="1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</row>
    <row r="320" spans="1:37" ht="14.25" customHeight="1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</row>
    <row r="321" spans="1:37" ht="14.25" customHeight="1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</row>
    <row r="322" spans="1:37" ht="14.25" customHeight="1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</row>
    <row r="323" spans="1:37" ht="14.25" customHeight="1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</row>
    <row r="324" spans="1:37" ht="14.25" customHeight="1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</row>
    <row r="325" spans="1:37" ht="14.25" customHeight="1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</row>
    <row r="326" spans="1:37" ht="14.25" customHeight="1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</row>
    <row r="327" spans="1:37" ht="14.25" customHeight="1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</row>
    <row r="328" spans="1:37" ht="14.25" customHeight="1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</row>
    <row r="329" spans="1:37" ht="14.25" customHeight="1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</row>
    <row r="330" spans="1:37" ht="14.25" customHeight="1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</row>
    <row r="331" spans="1:37" ht="14.25" customHeight="1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</row>
    <row r="332" spans="1:37" ht="14.25" customHeight="1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</row>
    <row r="333" spans="1:37" ht="14.25" customHeight="1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</row>
    <row r="334" spans="1:37" ht="14.25" customHeight="1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</row>
    <row r="335" spans="1:37" ht="14.25" customHeight="1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</row>
    <row r="336" spans="1:37" ht="14.25" customHeight="1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</row>
    <row r="337" spans="1:37" ht="14.25" customHeight="1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</row>
    <row r="338" spans="1:37" ht="14.25" customHeight="1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</row>
    <row r="339" spans="1:37" ht="14.25" customHeight="1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</row>
    <row r="340" spans="1:37" ht="14.25" customHeight="1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</row>
    <row r="341" spans="1:37" ht="14.25" customHeight="1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</row>
    <row r="342" spans="1:37" ht="14.25" customHeight="1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</row>
    <row r="343" spans="1:37" ht="14.25" customHeight="1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</row>
    <row r="344" spans="1:37" ht="14.25" customHeight="1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</row>
    <row r="345" spans="1:37" ht="14.25" customHeight="1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</row>
    <row r="346" spans="1:37" ht="14.25" customHeight="1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</row>
    <row r="347" spans="1:37" ht="14.25" customHeight="1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</row>
    <row r="348" spans="1:37" ht="14.25" customHeight="1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</row>
    <row r="349" spans="1:37" ht="14.25" customHeight="1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</row>
    <row r="350" spans="1:37" ht="14.25" customHeight="1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</row>
    <row r="351" spans="1:37" ht="14.25" customHeight="1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</row>
    <row r="352" spans="1:37" ht="14.25" customHeight="1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</row>
    <row r="353" spans="1:37" ht="14.25" customHeight="1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</row>
    <row r="354" spans="1:37" ht="14.25" customHeight="1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</row>
    <row r="355" spans="1:37" ht="14.25" customHeight="1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</row>
    <row r="356" spans="1:37" ht="14.25" customHeight="1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</row>
    <row r="357" spans="1:37" ht="14.25" customHeight="1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</row>
    <row r="358" spans="1:37" ht="14.25" customHeight="1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</row>
    <row r="359" spans="1:37" ht="14.25" customHeight="1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</row>
    <row r="360" spans="1:37" ht="14.25" customHeight="1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</row>
    <row r="361" spans="1:37" ht="14.25" customHeight="1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</row>
    <row r="362" spans="1:37" ht="14.25" customHeight="1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</row>
    <row r="363" spans="1:37" ht="14.25" customHeight="1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</row>
    <row r="364" spans="1:37" ht="14.25" customHeight="1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</row>
    <row r="365" spans="1:37" ht="14.25" customHeight="1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</row>
    <row r="366" spans="1:37" ht="14.25" customHeight="1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</row>
    <row r="367" spans="1:37" ht="14.25" customHeight="1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</row>
    <row r="368" spans="1:37" ht="14.25" customHeight="1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</row>
    <row r="369" spans="1:37" ht="14.25" customHeight="1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</row>
    <row r="370" spans="1:37" ht="14.25" customHeight="1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</row>
    <row r="371" spans="1:37" ht="14.25" customHeight="1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</row>
    <row r="372" spans="1:37" ht="14.25" customHeight="1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</row>
    <row r="373" spans="1:37" ht="14.25" customHeight="1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</row>
    <row r="374" spans="1:37" ht="14.25" customHeight="1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</row>
    <row r="375" spans="1:37" ht="14.25" customHeight="1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</row>
    <row r="376" spans="1:37" ht="14.25" customHeight="1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</row>
    <row r="377" spans="1:37" ht="14.25" customHeight="1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</row>
    <row r="378" spans="1:37" ht="14.25" customHeight="1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</row>
    <row r="379" spans="1:37" ht="14.25" customHeight="1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</row>
    <row r="380" spans="1:37" ht="14.25" customHeight="1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</row>
    <row r="381" spans="1:37" ht="14.25" customHeight="1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</row>
    <row r="382" spans="1:37" ht="14.25" customHeight="1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</row>
    <row r="383" spans="1:37" ht="14.25" customHeight="1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</row>
    <row r="384" spans="1:37" ht="14.25" customHeight="1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</row>
    <row r="385" spans="1:37" ht="14.25" customHeight="1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</row>
    <row r="386" spans="1:37" ht="14.25" customHeight="1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</row>
    <row r="387" spans="1:37" ht="14.25" customHeight="1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</row>
    <row r="388" spans="1:37" ht="14.25" customHeight="1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</row>
    <row r="389" spans="1:37" ht="14.25" customHeight="1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</row>
    <row r="390" spans="1:37" ht="14.25" customHeight="1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</row>
    <row r="391" spans="1:37" ht="14.25" customHeight="1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</row>
    <row r="392" spans="1:37" ht="14.25" customHeight="1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</row>
    <row r="393" spans="1:37" ht="14.25" customHeight="1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</row>
    <row r="394" spans="1:37" ht="14.25" customHeight="1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</row>
    <row r="395" spans="1:37" ht="14.25" customHeight="1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</row>
    <row r="396" spans="1:37" ht="14.25" customHeight="1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</row>
    <row r="397" spans="1:37" ht="14.25" customHeight="1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</row>
    <row r="398" spans="1:37" ht="14.25" customHeight="1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</row>
    <row r="399" spans="1:37" ht="14.25" customHeight="1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</row>
    <row r="400" spans="1:37" ht="14.25" customHeight="1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</row>
    <row r="401" spans="1:37" ht="14.25" customHeight="1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</row>
    <row r="402" spans="1:37" ht="14.25" customHeight="1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</row>
    <row r="403" spans="1:37" ht="14.25" customHeight="1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</row>
    <row r="404" spans="1:37" ht="14.25" customHeight="1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</row>
    <row r="405" spans="1:37" ht="14.25" customHeight="1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</row>
    <row r="406" spans="1:37" ht="14.25" customHeight="1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</row>
    <row r="407" spans="1:37" ht="14.25" customHeight="1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</row>
    <row r="408" spans="1:37" ht="14.25" customHeight="1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</row>
    <row r="409" spans="1:37" ht="14.25" customHeight="1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</row>
    <row r="410" spans="1:37" ht="14.25" customHeight="1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</row>
    <row r="411" spans="1:37" ht="14.25" customHeight="1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</row>
    <row r="412" spans="1:37" ht="14.25" customHeight="1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</row>
    <row r="413" spans="1:37" ht="14.25" customHeight="1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</row>
    <row r="414" spans="1:37" ht="14.25" customHeight="1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</row>
    <row r="415" spans="1:37" ht="14.25" customHeight="1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</row>
    <row r="416" spans="1:37" ht="14.25" customHeight="1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</row>
    <row r="417" spans="1:37" ht="14.25" customHeight="1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</row>
    <row r="418" spans="1:37" ht="14.25" customHeight="1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</row>
    <row r="419" spans="1:37" ht="14.25" customHeight="1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</row>
    <row r="420" spans="1:37" ht="14.25" customHeight="1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</row>
    <row r="421" spans="1:37" ht="14.25" customHeight="1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</row>
    <row r="422" spans="1:37" ht="14.25" customHeight="1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</row>
    <row r="423" spans="1:37" ht="14.25" customHeight="1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</row>
    <row r="424" spans="1:37" ht="14.25" customHeight="1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</row>
    <row r="425" spans="1:37" ht="14.25" customHeight="1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</row>
    <row r="426" spans="1:37" ht="14.25" customHeight="1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</row>
    <row r="427" spans="1:37" ht="14.25" customHeight="1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</row>
    <row r="428" spans="1:37" ht="14.25" customHeight="1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</row>
    <row r="429" spans="1:37" ht="14.25" customHeight="1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</row>
    <row r="430" spans="1:37" ht="14.25" customHeight="1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</row>
    <row r="431" spans="1:37" ht="14.25" customHeight="1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</row>
    <row r="432" spans="1:37" ht="14.25" customHeight="1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</row>
    <row r="433" spans="1:37" ht="14.25" customHeight="1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</row>
    <row r="434" spans="1:37" ht="14.25" customHeight="1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</row>
    <row r="435" spans="1:37" ht="14.25" customHeight="1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</row>
    <row r="436" spans="1:37" ht="14.25" customHeight="1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</row>
    <row r="437" spans="1:37" ht="14.25" customHeight="1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</row>
    <row r="438" spans="1:37" ht="14.25" customHeight="1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</row>
    <row r="439" spans="1:37" ht="14.25" customHeight="1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</row>
    <row r="440" spans="1:37" ht="14.25" customHeight="1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</row>
    <row r="441" spans="1:37" ht="14.25" customHeight="1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</row>
    <row r="442" spans="1:37" ht="14.25" customHeight="1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</row>
    <row r="443" spans="1:37" ht="14.25" customHeight="1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</row>
    <row r="444" spans="1:37" ht="14.25" customHeight="1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</row>
    <row r="445" spans="1:37" ht="14.25" customHeight="1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</row>
    <row r="446" spans="1:37" ht="14.25" customHeight="1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</row>
    <row r="447" spans="1:37" ht="14.25" customHeight="1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</row>
    <row r="448" spans="1:37" ht="14.25" customHeight="1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</row>
    <row r="449" spans="1:37" ht="14.25" customHeight="1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</row>
    <row r="450" spans="1:37" ht="14.25" customHeight="1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</row>
    <row r="451" spans="1:37" ht="14.25" customHeight="1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</row>
    <row r="452" spans="1:37" ht="14.25" customHeight="1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</row>
    <row r="453" spans="1:37" ht="14.25" customHeight="1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</row>
    <row r="454" spans="1:37" ht="14.25" customHeight="1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</row>
    <row r="455" spans="1:37" ht="14.25" customHeight="1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</row>
    <row r="456" spans="1:37" ht="14.25" customHeight="1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</row>
    <row r="457" spans="1:37" ht="14.25" customHeight="1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</row>
    <row r="458" spans="1:37" ht="14.25" customHeight="1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</row>
    <row r="459" spans="1:37" ht="14.25" customHeight="1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</row>
    <row r="460" spans="1:37" ht="14.25" customHeight="1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</row>
    <row r="461" spans="1:37" ht="14.25" customHeight="1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</row>
    <row r="462" spans="1:37" ht="14.25" customHeight="1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</row>
    <row r="463" spans="1:37" ht="14.25" customHeight="1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</row>
    <row r="464" spans="1:37" ht="14.25" customHeight="1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</row>
    <row r="465" spans="1:37" ht="14.25" customHeight="1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</row>
    <row r="466" spans="1:37" ht="14.25" customHeight="1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</row>
    <row r="467" spans="1:37" ht="14.25" customHeight="1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</row>
    <row r="468" spans="1:37" ht="14.25" customHeight="1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</row>
    <row r="469" spans="1:37" ht="14.25" customHeight="1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</row>
    <row r="470" spans="1:37" ht="14.25" customHeight="1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</row>
    <row r="471" spans="1:37" ht="14.25" customHeight="1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</row>
    <row r="472" spans="1:37" ht="14.25" customHeight="1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</row>
    <row r="473" spans="1:37" ht="14.25" customHeight="1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</row>
    <row r="474" spans="1:37" ht="14.25" customHeight="1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</row>
    <row r="475" spans="1:37" ht="14.25" customHeight="1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</row>
    <row r="476" spans="1:37" ht="14.25" customHeight="1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</row>
    <row r="477" spans="1:37" ht="14.25" customHeight="1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</row>
    <row r="478" spans="1:37" ht="14.25" customHeight="1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</row>
    <row r="479" spans="1:37" ht="14.25" customHeight="1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</row>
    <row r="480" spans="1:37" ht="14.25" customHeight="1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</row>
    <row r="481" spans="1:37" ht="14.25" customHeight="1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</row>
    <row r="482" spans="1:37" ht="14.25" customHeight="1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</row>
    <row r="483" spans="1:37" ht="14.25" customHeight="1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</row>
    <row r="484" spans="1:37" ht="14.25" customHeight="1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</row>
    <row r="485" spans="1:37" ht="14.25" customHeight="1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</row>
    <row r="486" spans="1:37" ht="14.25" customHeight="1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</row>
    <row r="487" spans="1:37" ht="14.25" customHeight="1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</row>
    <row r="488" spans="1:37" ht="14.25" customHeight="1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</row>
    <row r="489" spans="1:37" ht="14.25" customHeight="1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</row>
    <row r="490" spans="1:37" ht="14.25" customHeight="1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</row>
    <row r="491" spans="1:37" ht="14.25" customHeight="1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</row>
    <row r="492" spans="1:37" ht="14.25" customHeight="1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</row>
    <row r="493" spans="1:37" ht="14.25" customHeight="1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</row>
    <row r="494" spans="1:37" ht="14.25" customHeight="1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</row>
    <row r="495" spans="1:37" ht="14.25" customHeight="1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</row>
    <row r="496" spans="1:37" ht="14.25" customHeight="1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</row>
    <row r="497" spans="1:37" ht="14.25" customHeight="1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</row>
    <row r="498" spans="1:37" ht="14.25" customHeight="1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</row>
    <row r="499" spans="1:37" ht="14.25" customHeight="1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</row>
    <row r="500" spans="1:37" ht="14.25" customHeight="1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</row>
    <row r="501" spans="1:37" ht="14.25" customHeight="1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</row>
    <row r="502" spans="1:37" ht="14.25" customHeight="1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</row>
    <row r="503" spans="1:37" ht="14.25" customHeight="1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</row>
    <row r="504" spans="1:37" ht="14.25" customHeight="1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</row>
    <row r="505" spans="1:37" ht="14.25" customHeight="1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</row>
    <row r="506" spans="1:37" ht="14.25" customHeight="1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</row>
    <row r="507" spans="1:37" ht="14.25" customHeight="1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</row>
    <row r="508" spans="1:37" ht="14.25" customHeight="1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</row>
    <row r="509" spans="1:37" ht="14.25" customHeight="1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</row>
    <row r="510" spans="1:37" ht="14.25" customHeight="1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</row>
    <row r="511" spans="1:37" ht="14.25" customHeight="1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</row>
    <row r="512" spans="1:37" ht="14.25" customHeight="1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</row>
    <row r="513" spans="1:37" ht="14.25" customHeight="1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</row>
    <row r="514" spans="1:37" ht="14.25" customHeight="1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</row>
    <row r="515" spans="1:37" ht="14.25" customHeight="1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</row>
    <row r="516" spans="1:37" ht="14.25" customHeight="1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</row>
    <row r="517" spans="1:37" ht="14.25" customHeight="1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</row>
    <row r="518" spans="1:37" ht="14.25" customHeight="1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</row>
    <row r="519" spans="1:37" ht="14.25" customHeight="1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</row>
    <row r="520" spans="1:37" ht="14.25" customHeight="1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</row>
    <row r="521" spans="1:37" ht="14.25" customHeight="1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</row>
    <row r="522" spans="1:37" ht="14.25" customHeight="1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</row>
    <row r="523" spans="1:37" ht="14.25" customHeight="1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</row>
    <row r="524" spans="1:37" ht="14.25" customHeight="1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</row>
    <row r="525" spans="1:37" ht="14.25" customHeight="1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</row>
    <row r="526" spans="1:37" ht="14.25" customHeight="1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</row>
    <row r="527" spans="1:37" ht="14.25" customHeight="1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</row>
    <row r="528" spans="1:37" ht="14.25" customHeight="1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</row>
    <row r="529" spans="1:37" ht="14.25" customHeight="1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</row>
    <row r="530" spans="1:37" ht="14.25" customHeight="1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</row>
    <row r="531" spans="1:37" ht="14.25" customHeight="1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</row>
    <row r="532" spans="1:37" ht="14.25" customHeight="1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</row>
    <row r="533" spans="1:37" ht="14.25" customHeight="1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</row>
    <row r="534" spans="1:37" ht="14.25" customHeight="1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</row>
    <row r="535" spans="1:37" ht="14.25" customHeight="1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</row>
    <row r="536" spans="1:37" ht="14.25" customHeight="1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</row>
    <row r="537" spans="1:37" ht="14.25" customHeight="1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</row>
    <row r="538" spans="1:37" ht="14.25" customHeight="1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</row>
    <row r="539" spans="1:37" ht="14.25" customHeight="1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</row>
    <row r="540" spans="1:37" ht="14.25" customHeight="1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</row>
    <row r="541" spans="1:37" ht="14.25" customHeight="1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</row>
    <row r="542" spans="1:37" ht="14.25" customHeight="1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</row>
    <row r="543" spans="1:37" ht="14.25" customHeight="1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</row>
    <row r="544" spans="1:37" ht="14.25" customHeight="1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</row>
    <row r="545" spans="1:37" ht="14.25" customHeight="1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</row>
    <row r="546" spans="1:37" ht="14.25" customHeight="1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</row>
    <row r="547" spans="1:37" ht="14.25" customHeight="1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</row>
    <row r="548" spans="1:37" ht="14.25" customHeight="1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</row>
    <row r="549" spans="1:37" ht="14.25" customHeight="1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</row>
    <row r="550" spans="1:37" ht="14.25" customHeight="1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</row>
    <row r="551" spans="1:37" ht="14.25" customHeight="1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</row>
    <row r="552" spans="1:37" ht="14.25" customHeight="1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</row>
    <row r="553" spans="1:37" ht="14.25" customHeight="1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</row>
    <row r="554" spans="1:37" ht="14.25" customHeight="1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</row>
    <row r="555" spans="1:37" ht="14.25" customHeight="1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</row>
    <row r="556" spans="1:37" ht="14.25" customHeight="1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</row>
    <row r="557" spans="1:37" ht="14.25" customHeight="1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</row>
    <row r="558" spans="1:37" ht="14.25" customHeight="1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</row>
    <row r="559" spans="1:37" ht="14.25" customHeight="1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</row>
    <row r="560" spans="1:37" ht="14.25" customHeight="1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</row>
    <row r="561" spans="1:37" ht="14.25" customHeight="1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</row>
    <row r="562" spans="1:37" ht="14.25" customHeight="1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</row>
    <row r="563" spans="1:37" ht="14.25" customHeight="1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</row>
    <row r="564" spans="1:37" ht="14.25" customHeight="1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</row>
    <row r="565" spans="1:37" ht="14.25" customHeight="1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</row>
    <row r="566" spans="1:37" ht="14.25" customHeight="1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</row>
    <row r="567" spans="1:37" ht="14.25" customHeight="1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</row>
    <row r="568" spans="1:37" ht="14.25" customHeight="1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</row>
    <row r="569" spans="1:37" ht="14.25" customHeight="1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</row>
    <row r="570" spans="1:37" ht="14.25" customHeight="1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</row>
    <row r="571" spans="1:37" ht="14.25" customHeight="1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</row>
    <row r="572" spans="1:37" ht="14.25" customHeight="1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</row>
    <row r="573" spans="1:37" ht="14.25" customHeight="1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</row>
    <row r="574" spans="1:37" ht="14.25" customHeight="1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</row>
    <row r="575" spans="1:37" ht="14.25" customHeight="1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</row>
    <row r="576" spans="1:37" ht="14.25" customHeight="1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</row>
    <row r="577" spans="1:37" ht="14.25" customHeight="1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</row>
    <row r="578" spans="1:37" ht="14.25" customHeight="1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</row>
    <row r="579" spans="1:37" ht="14.25" customHeight="1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</row>
    <row r="580" spans="1:37" ht="14.25" customHeight="1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</row>
    <row r="581" spans="1:37" ht="14.25" customHeight="1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</row>
    <row r="582" spans="1:37" ht="14.25" customHeight="1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</row>
    <row r="583" spans="1:37" ht="14.25" customHeight="1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</row>
    <row r="584" spans="1:37" ht="14.25" customHeight="1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</row>
    <row r="585" spans="1:37" ht="14.25" customHeight="1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</row>
    <row r="586" spans="1:37" ht="14.25" customHeight="1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</row>
    <row r="587" spans="1:37" ht="14.25" customHeight="1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</row>
    <row r="588" spans="1:37" ht="14.25" customHeight="1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</row>
    <row r="589" spans="1:37" ht="14.25" customHeight="1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</row>
    <row r="590" spans="1:37" ht="14.25" customHeight="1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</row>
    <row r="591" spans="1:37" ht="14.25" customHeight="1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</row>
    <row r="592" spans="1:37" ht="14.25" customHeight="1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</row>
    <row r="593" spans="1:37" ht="14.25" customHeight="1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</row>
    <row r="594" spans="1:37" ht="14.25" customHeight="1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</row>
    <row r="595" spans="1:37" ht="14.25" customHeight="1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</row>
    <row r="596" spans="1:37" ht="14.25" customHeight="1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</row>
    <row r="597" spans="1:37" ht="14.25" customHeight="1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</row>
    <row r="598" spans="1:37" ht="14.25" customHeight="1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</row>
    <row r="599" spans="1:37" ht="14.25" customHeight="1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</row>
    <row r="600" spans="1:37" ht="14.25" customHeight="1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</row>
    <row r="601" spans="1:37" ht="14.25" customHeight="1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</row>
    <row r="602" spans="1:37" ht="14.25" customHeight="1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</row>
    <row r="603" spans="1:37" ht="14.25" customHeight="1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</row>
    <row r="604" spans="1:37" ht="14.25" customHeight="1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</row>
    <row r="605" spans="1:37" ht="14.25" customHeight="1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</row>
    <row r="606" spans="1:37" ht="14.25" customHeight="1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</row>
    <row r="607" spans="1:37" ht="14.25" customHeight="1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</row>
    <row r="608" spans="1:37" ht="14.25" customHeight="1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</row>
    <row r="609" spans="1:37" ht="14.25" customHeight="1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</row>
    <row r="610" spans="1:37" ht="14.25" customHeight="1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</row>
    <row r="611" spans="1:37" ht="14.25" customHeight="1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</row>
    <row r="612" spans="1:37" ht="14.25" customHeight="1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</row>
    <row r="613" spans="1:37" ht="14.25" customHeight="1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</row>
    <row r="614" spans="1:37" ht="14.25" customHeight="1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</row>
    <row r="615" spans="1:37" ht="14.25" customHeight="1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</row>
    <row r="616" spans="1:37" ht="14.25" customHeight="1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</row>
    <row r="617" spans="1:37" ht="14.25" customHeight="1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</row>
    <row r="618" spans="1:37" ht="14.25" customHeight="1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</row>
    <row r="619" spans="1:37" ht="14.25" customHeight="1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</row>
    <row r="620" spans="1:37" ht="14.25" customHeight="1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</row>
    <row r="621" spans="1:37" ht="14.25" customHeight="1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</row>
    <row r="622" spans="1:37" ht="14.25" customHeight="1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</row>
    <row r="623" spans="1:37" ht="14.25" customHeight="1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</row>
    <row r="624" spans="1:37" ht="14.25" customHeight="1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</row>
    <row r="625" spans="1:37" ht="14.25" customHeight="1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</row>
    <row r="626" spans="1:37" ht="14.25" customHeight="1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</row>
    <row r="627" spans="1:37" ht="14.25" customHeight="1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</row>
    <row r="628" spans="1:37" ht="14.25" customHeight="1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</row>
    <row r="629" spans="1:37" ht="14.25" customHeight="1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</row>
    <row r="630" spans="1:37" ht="14.25" customHeight="1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</row>
    <row r="631" spans="1:37" ht="14.25" customHeight="1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</row>
    <row r="632" spans="1:37" ht="14.25" customHeight="1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</row>
    <row r="633" spans="1:37" ht="14.25" customHeight="1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</row>
    <row r="634" spans="1:37" ht="14.25" customHeight="1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</row>
    <row r="635" spans="1:37" ht="14.25" customHeight="1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</row>
    <row r="636" spans="1:37" ht="14.25" customHeight="1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</row>
    <row r="637" spans="1:37" ht="14.25" customHeight="1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</row>
    <row r="638" spans="1:37" ht="14.25" customHeight="1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</row>
    <row r="639" spans="1:37" ht="14.25" customHeight="1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</row>
    <row r="640" spans="1:37" ht="14.25" customHeight="1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</row>
    <row r="641" spans="1:37" ht="14.25" customHeight="1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</row>
    <row r="642" spans="1:37" ht="14.25" customHeight="1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</row>
    <row r="643" spans="1:37" ht="14.25" customHeight="1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</row>
    <row r="644" spans="1:37" ht="14.25" customHeight="1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</row>
    <row r="645" spans="1:37" ht="14.25" customHeight="1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</row>
    <row r="646" spans="1:37" ht="14.25" customHeight="1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</row>
    <row r="647" spans="1:37" ht="14.25" customHeight="1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</row>
    <row r="648" spans="1:37" ht="14.25" customHeight="1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</row>
    <row r="649" spans="1:37" ht="14.25" customHeight="1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</row>
    <row r="650" spans="1:37" ht="14.25" customHeight="1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</row>
    <row r="651" spans="1:37" ht="14.25" customHeight="1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</row>
    <row r="652" spans="1:37" ht="14.25" customHeight="1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</row>
    <row r="653" spans="1:37" ht="14.25" customHeight="1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</row>
    <row r="654" spans="1:37" ht="14.25" customHeight="1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</row>
    <row r="655" spans="1:37" ht="14.25" customHeight="1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</row>
    <row r="656" spans="1:37" ht="14.25" customHeight="1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</row>
    <row r="657" spans="1:37" ht="14.25" customHeight="1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</row>
    <row r="658" spans="1:37" ht="14.25" customHeight="1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</row>
    <row r="659" spans="1:37" ht="14.25" customHeight="1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</row>
    <row r="660" spans="1:37" ht="14.25" customHeight="1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</row>
    <row r="661" spans="1:37" ht="14.25" customHeight="1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</row>
    <row r="662" spans="1:37" ht="14.25" customHeight="1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</row>
    <row r="663" spans="1:37" ht="14.25" customHeight="1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</row>
    <row r="664" spans="1:37" ht="14.25" customHeight="1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</row>
    <row r="665" spans="1:37" ht="14.25" customHeight="1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</row>
    <row r="666" spans="1:37" ht="14.25" customHeight="1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</row>
    <row r="667" spans="1:37" ht="14.25" customHeight="1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</row>
    <row r="668" spans="1:37" ht="14.25" customHeight="1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</row>
    <row r="669" spans="1:37" ht="14.25" customHeight="1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</row>
    <row r="670" spans="1:37" ht="14.25" customHeight="1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</row>
    <row r="671" spans="1:37" ht="14.25" customHeight="1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</row>
    <row r="672" spans="1:37" ht="14.25" customHeight="1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</row>
    <row r="673" spans="1:37" ht="14.25" customHeight="1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</row>
    <row r="674" spans="1:37" ht="14.25" customHeight="1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</row>
    <row r="675" spans="1:37" ht="14.25" customHeight="1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</row>
    <row r="676" spans="1:37" ht="14.25" customHeight="1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</row>
    <row r="677" spans="1:37" ht="14.25" customHeight="1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</row>
    <row r="678" spans="1:37" ht="14.25" customHeight="1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</row>
    <row r="679" spans="1:37" ht="14.25" customHeight="1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</row>
    <row r="680" spans="1:37" ht="14.25" customHeight="1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</row>
    <row r="681" spans="1:37" ht="14.25" customHeight="1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</row>
    <row r="682" spans="1:37" ht="14.25" customHeight="1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</row>
    <row r="683" spans="1:37" ht="14.25" customHeight="1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</row>
    <row r="684" spans="1:37" ht="14.25" customHeight="1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</row>
    <row r="685" spans="1:37" ht="14.25" customHeight="1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</row>
    <row r="686" spans="1:37" ht="14.25" customHeight="1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</row>
    <row r="687" spans="1:37" ht="14.25" customHeight="1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</row>
    <row r="688" spans="1:37" ht="14.25" customHeight="1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</row>
    <row r="689" spans="1:37" ht="14.25" customHeight="1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</row>
    <row r="690" spans="1:37" ht="14.25" customHeight="1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</row>
    <row r="691" spans="1:37" ht="14.25" customHeight="1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</row>
    <row r="692" spans="1:37" ht="14.25" customHeight="1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</row>
    <row r="693" spans="1:37" ht="14.25" customHeight="1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</row>
    <row r="694" spans="1:37" ht="14.25" customHeight="1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</row>
    <row r="695" spans="1:37" ht="14.25" customHeight="1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</row>
    <row r="696" spans="1:37" ht="14.25" customHeight="1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</row>
    <row r="697" spans="1:37" ht="14.25" customHeight="1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</row>
    <row r="698" spans="1:37" ht="14.25" customHeight="1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</row>
    <row r="699" spans="1:37" ht="14.25" customHeight="1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</row>
    <row r="700" spans="1:37" ht="14.25" customHeight="1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</row>
    <row r="701" spans="1:37" ht="14.25" customHeight="1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</row>
    <row r="702" spans="1:37" ht="14.25" customHeight="1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</row>
    <row r="703" spans="1:37" ht="14.25" customHeight="1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</row>
    <row r="704" spans="1:37" ht="14.25" customHeight="1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</row>
    <row r="705" spans="1:37" ht="14.25" customHeight="1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</row>
    <row r="706" spans="1:37" ht="14.25" customHeight="1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</row>
    <row r="707" spans="1:37" ht="14.25" customHeight="1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</row>
    <row r="708" spans="1:37" ht="14.25" customHeight="1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</row>
    <row r="709" spans="1:37" ht="14.25" customHeight="1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</row>
    <row r="710" spans="1:37" ht="14.25" customHeight="1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</row>
    <row r="711" spans="1:37" ht="14.25" customHeight="1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</row>
    <row r="712" spans="1:37" ht="14.25" customHeight="1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</row>
    <row r="713" spans="1:37" ht="14.25" customHeight="1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</row>
    <row r="714" spans="1:37" ht="14.25" customHeight="1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</row>
    <row r="715" spans="1:37" ht="14.25" customHeight="1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</row>
    <row r="716" spans="1:37" ht="14.25" customHeight="1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</row>
    <row r="717" spans="1:37" ht="14.25" customHeight="1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</row>
    <row r="718" spans="1:37" ht="14.25" customHeight="1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</row>
    <row r="719" spans="1:37" ht="14.25" customHeight="1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</row>
    <row r="720" spans="1:37" ht="14.25" customHeight="1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</row>
    <row r="721" spans="1:37" ht="14.25" customHeight="1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</row>
    <row r="722" spans="1:37" ht="14.25" customHeight="1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</row>
    <row r="723" spans="1:37" ht="14.25" customHeight="1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</row>
    <row r="724" spans="1:37" ht="14.25" customHeight="1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</row>
    <row r="725" spans="1:37" ht="14.25" customHeight="1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</row>
    <row r="726" spans="1:37" ht="14.25" customHeight="1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</row>
    <row r="727" spans="1:37" ht="14.25" customHeight="1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</row>
    <row r="728" spans="1:37" ht="14.25" customHeight="1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</row>
    <row r="729" spans="1:37" ht="14.25" customHeight="1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</row>
    <row r="730" spans="1:37" ht="14.25" customHeight="1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</row>
    <row r="731" spans="1:37" ht="14.25" customHeight="1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</row>
    <row r="732" spans="1:37" ht="14.25" customHeight="1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</row>
    <row r="733" spans="1:37" ht="14.25" customHeight="1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</row>
    <row r="734" spans="1:37" ht="14.25" customHeight="1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</row>
    <row r="735" spans="1:37" ht="14.25" customHeight="1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</row>
    <row r="736" spans="1:37" ht="14.25" customHeight="1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</row>
    <row r="737" spans="1:37" ht="14.25" customHeight="1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</row>
    <row r="738" spans="1:37" ht="14.25" customHeight="1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</row>
    <row r="739" spans="1:37" ht="14.25" customHeight="1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</row>
    <row r="740" spans="1:37" ht="14.25" customHeight="1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</row>
    <row r="741" spans="1:37" ht="14.25" customHeight="1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</row>
    <row r="742" spans="1:37" ht="14.25" customHeight="1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</row>
    <row r="743" spans="1:37" ht="14.25" customHeight="1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</row>
    <row r="744" spans="1:37" ht="14.25" customHeight="1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</row>
    <row r="745" spans="1:37" ht="14.25" customHeight="1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</row>
    <row r="746" spans="1:37" ht="14.25" customHeight="1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</row>
    <row r="747" spans="1:37" ht="14.25" customHeight="1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</row>
    <row r="748" spans="1:37" ht="14.25" customHeight="1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</row>
    <row r="749" spans="1:37" ht="14.25" customHeight="1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</row>
    <row r="750" spans="1:37" ht="14.25" customHeight="1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</row>
    <row r="751" spans="1:37" ht="14.25" customHeight="1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</row>
    <row r="752" spans="1:37" ht="14.25" customHeight="1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</row>
    <row r="753" spans="1:37" ht="14.25" customHeight="1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</row>
    <row r="754" spans="1:37" ht="14.25" customHeight="1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</row>
    <row r="755" spans="1:37" ht="14.25" customHeight="1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</row>
    <row r="756" spans="1:37" ht="14.25" customHeight="1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</row>
    <row r="757" spans="1:37" ht="14.25" customHeight="1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</row>
    <row r="758" spans="1:37" ht="14.25" customHeight="1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</row>
    <row r="759" spans="1:37" ht="14.25" customHeight="1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</row>
    <row r="760" spans="1:37" ht="14.25" customHeight="1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</row>
    <row r="761" spans="1:37" ht="14.25" customHeight="1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</row>
    <row r="762" spans="1:37" ht="14.25" customHeight="1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</row>
    <row r="763" spans="1:37" ht="14.25" customHeight="1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</row>
    <row r="764" spans="1:37" ht="14.25" customHeight="1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</row>
    <row r="765" spans="1:37" ht="14.25" customHeight="1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</row>
    <row r="766" spans="1:37" ht="14.25" customHeight="1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</row>
    <row r="767" spans="1:37" ht="14.25" customHeight="1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</row>
    <row r="768" spans="1:37" ht="14.25" customHeight="1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</row>
    <row r="769" spans="1:37" ht="14.25" customHeight="1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</row>
    <row r="770" spans="1:37" ht="14.25" customHeight="1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</row>
    <row r="771" spans="1:37" ht="14.25" customHeight="1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</row>
    <row r="772" spans="1:37" ht="14.25" customHeight="1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</row>
    <row r="773" spans="1:37" ht="14.25" customHeight="1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</row>
    <row r="774" spans="1:37" ht="14.25" customHeight="1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</row>
    <row r="775" spans="1:37" ht="14.25" customHeight="1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</row>
    <row r="776" spans="1:37" ht="14.25" customHeight="1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</row>
    <row r="777" spans="1:37" ht="14.25" customHeight="1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</row>
    <row r="778" spans="1:37" ht="14.25" customHeight="1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</row>
    <row r="779" spans="1:37" ht="14.25" customHeight="1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</row>
    <row r="780" spans="1:37" ht="14.25" customHeight="1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</row>
    <row r="781" spans="1:37" ht="14.25" customHeight="1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</row>
    <row r="782" spans="1:37" ht="14.25" customHeight="1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</row>
    <row r="783" spans="1:37" ht="14.25" customHeight="1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</row>
    <row r="784" spans="1:37" ht="14.25" customHeight="1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</row>
    <row r="785" spans="1:37" ht="14.25" customHeight="1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</row>
    <row r="786" spans="1:37" ht="14.25" customHeight="1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</row>
    <row r="787" spans="1:37" ht="14.25" customHeight="1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</row>
    <row r="788" spans="1:37" ht="14.25" customHeight="1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</row>
    <row r="789" spans="1:37" ht="14.25" customHeight="1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</row>
    <row r="790" spans="1:37" ht="14.25" customHeight="1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</row>
    <row r="791" spans="1:37" ht="14.25" customHeight="1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</row>
    <row r="792" spans="1:37" ht="14.25" customHeight="1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</row>
    <row r="793" spans="1:37" ht="14.25" customHeight="1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</row>
    <row r="794" spans="1:37" ht="14.25" customHeight="1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</row>
    <row r="795" spans="1:37" ht="14.25" customHeight="1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</row>
    <row r="796" spans="1:37" ht="14.25" customHeight="1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</row>
    <row r="797" spans="1:37" ht="14.25" customHeight="1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</row>
    <row r="798" spans="1:37" ht="14.25" customHeight="1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</row>
    <row r="799" spans="1:37" ht="14.25" customHeight="1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</row>
    <row r="800" spans="1:37" ht="14.25" customHeight="1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</row>
    <row r="801" spans="1:37" ht="14.25" customHeight="1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</row>
    <row r="802" spans="1:37" ht="14.25" customHeight="1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</row>
    <row r="803" spans="1:37" ht="14.25" customHeight="1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</row>
    <row r="804" spans="1:37" ht="14.25" customHeight="1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</row>
    <row r="805" spans="1:37" ht="14.25" customHeight="1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</row>
    <row r="806" spans="1:37" ht="14.25" customHeight="1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</row>
    <row r="807" spans="1:37" ht="14.25" customHeight="1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</row>
    <row r="808" spans="1:37" ht="14.25" customHeight="1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</row>
    <row r="809" spans="1:37" ht="14.25" customHeight="1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</row>
    <row r="810" spans="1:37" ht="14.25" customHeight="1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</row>
    <row r="811" spans="1:37" ht="14.25" customHeight="1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</row>
    <row r="812" spans="1:37" ht="14.25" customHeight="1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</row>
    <row r="813" spans="1:37" ht="14.25" customHeight="1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</row>
    <row r="814" spans="1:37" ht="14.25" customHeight="1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</row>
    <row r="815" spans="1:37" ht="14.25" customHeight="1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</row>
    <row r="816" spans="1:37" ht="14.25" customHeight="1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</row>
    <row r="817" spans="1:37" ht="14.25" customHeight="1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</row>
    <row r="818" spans="1:37" ht="14.25" customHeight="1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</row>
    <row r="819" spans="1:37" ht="14.25" customHeight="1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</row>
    <row r="820" spans="1:37" ht="14.25" customHeight="1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</row>
    <row r="821" spans="1:37" ht="14.25" customHeight="1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</row>
    <row r="822" spans="1:37" ht="14.25" customHeight="1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</row>
    <row r="823" spans="1:37" ht="14.25" customHeight="1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</row>
    <row r="824" spans="1:37" ht="14.25" customHeight="1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</row>
    <row r="825" spans="1:37" ht="14.25" customHeight="1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</row>
    <row r="826" spans="1:37" ht="14.25" customHeight="1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</row>
    <row r="827" spans="1:37" ht="14.25" customHeight="1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</row>
    <row r="828" spans="1:37" ht="14.25" customHeight="1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</row>
    <row r="829" spans="1:37" ht="14.25" customHeight="1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</row>
    <row r="830" spans="1:37" ht="14.25" customHeight="1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</row>
    <row r="831" spans="1:37" ht="14.25" customHeight="1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</row>
    <row r="832" spans="1:37" ht="14.25" customHeight="1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</row>
    <row r="833" spans="1:37" ht="14.25" customHeight="1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</row>
    <row r="834" spans="1:37" ht="14.25" customHeight="1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</row>
    <row r="835" spans="1:37" ht="14.25" customHeight="1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</row>
    <row r="836" spans="1:37" ht="14.25" customHeight="1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</row>
    <row r="837" spans="1:37" ht="14.25" customHeight="1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</row>
    <row r="838" spans="1:37" ht="14.25" customHeight="1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</row>
    <row r="839" spans="1:37" ht="14.25" customHeight="1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</row>
    <row r="840" spans="1:37" ht="14.25" customHeight="1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</row>
    <row r="841" spans="1:37" ht="14.25" customHeight="1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</row>
    <row r="842" spans="1:37" ht="14.25" customHeight="1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</row>
    <row r="843" spans="1:37" ht="14.25" customHeight="1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</row>
    <row r="844" spans="1:37" ht="14.25" customHeight="1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</row>
    <row r="845" spans="1:37" ht="14.25" customHeight="1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</row>
    <row r="846" spans="1:37" ht="14.25" customHeight="1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</row>
    <row r="847" spans="1:37" ht="14.25" customHeight="1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</row>
    <row r="848" spans="1:37" ht="14.25" customHeight="1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</row>
    <row r="849" spans="1:37" ht="14.25" customHeight="1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</row>
    <row r="850" spans="1:37" ht="14.25" customHeight="1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</row>
    <row r="851" spans="1:37" ht="14.25" customHeight="1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</row>
    <row r="852" spans="1:37" ht="14.25" customHeight="1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</row>
    <row r="853" spans="1:37" ht="14.25" customHeight="1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</row>
    <row r="854" spans="1:37" ht="14.25" customHeight="1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</row>
    <row r="855" spans="1:37" ht="14.25" customHeight="1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</row>
    <row r="856" spans="1:37" ht="14.25" customHeight="1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</row>
    <row r="857" spans="1:37" ht="14.25" customHeight="1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</row>
    <row r="858" spans="1:37" ht="14.25" customHeight="1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</row>
    <row r="859" spans="1:37" ht="14.25" customHeight="1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</row>
    <row r="860" spans="1:37" ht="14.25" customHeight="1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</row>
    <row r="861" spans="1:37" ht="14.25" customHeight="1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</row>
    <row r="862" spans="1:37" ht="14.25" customHeight="1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</row>
    <row r="863" spans="1:37" ht="14.25" customHeight="1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</row>
    <row r="864" spans="1:37" ht="14.25" customHeight="1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</row>
    <row r="865" spans="1:37" ht="14.25" customHeight="1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</row>
    <row r="866" spans="1:37" ht="14.25" customHeight="1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</row>
    <row r="867" spans="1:37" ht="14.25" customHeight="1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</row>
    <row r="868" spans="1:37" ht="14.25" customHeight="1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</row>
    <row r="869" spans="1:37" ht="14.25" customHeight="1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</row>
    <row r="870" spans="1:37" ht="14.25" customHeight="1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</row>
    <row r="871" spans="1:37" ht="14.25" customHeight="1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</row>
    <row r="872" spans="1:37" ht="14.25" customHeight="1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</row>
    <row r="873" spans="1:37" ht="14.25" customHeight="1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</row>
    <row r="874" spans="1:37" ht="14.25" customHeight="1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</row>
    <row r="875" spans="1:37" ht="14.25" customHeight="1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</row>
    <row r="876" spans="1:37" ht="14.25" customHeight="1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</row>
    <row r="877" spans="1:37" ht="14.25" customHeight="1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</row>
    <row r="878" spans="1:37" ht="14.25" customHeight="1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</row>
    <row r="879" spans="1:37" ht="14.25" customHeight="1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</row>
    <row r="880" spans="1:37" ht="14.25" customHeight="1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</row>
    <row r="881" spans="1:37" ht="14.25" customHeight="1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</row>
    <row r="882" spans="1:37" ht="14.25" customHeight="1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</row>
    <row r="883" spans="1:37" ht="14.25" customHeight="1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</row>
    <row r="884" spans="1:37" ht="14.25" customHeight="1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</row>
    <row r="885" spans="1:37" ht="14.25" customHeight="1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</row>
    <row r="886" spans="1:37" ht="14.25" customHeight="1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</row>
    <row r="887" spans="1:37" ht="14.25" customHeight="1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</row>
    <row r="888" spans="1:37" ht="14.25" customHeight="1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</row>
    <row r="889" spans="1:37" ht="14.25" customHeight="1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</row>
    <row r="890" spans="1:37" ht="14.25" customHeight="1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</row>
    <row r="891" spans="1:37" ht="14.25" customHeight="1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</row>
    <row r="892" spans="1:37" ht="14.25" customHeight="1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</row>
    <row r="893" spans="1:37" ht="14.25" customHeight="1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</row>
    <row r="894" spans="1:37" ht="14.25" customHeight="1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</row>
    <row r="895" spans="1:37" ht="14.25" customHeight="1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</row>
    <row r="896" spans="1:37" ht="14.25" customHeight="1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</row>
    <row r="897" spans="1:37" ht="14.25" customHeight="1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</row>
    <row r="898" spans="1:37" ht="14.25" customHeight="1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</row>
    <row r="899" spans="1:37" ht="14.25" customHeight="1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</row>
    <row r="900" spans="1:37" ht="14.25" customHeight="1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</row>
    <row r="901" spans="1:37" ht="14.25" customHeight="1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</row>
    <row r="902" spans="1:37" ht="14.25" customHeight="1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</row>
    <row r="903" spans="1:37" ht="14.25" customHeight="1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</row>
    <row r="904" spans="1:37" ht="14.25" customHeight="1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</row>
    <row r="905" spans="1:37" ht="14.25" customHeight="1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</row>
    <row r="906" spans="1:37" ht="14.25" customHeight="1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</row>
    <row r="907" spans="1:37" ht="14.25" customHeight="1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</row>
    <row r="908" spans="1:37" ht="14.25" customHeight="1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</row>
    <row r="909" spans="1:37" ht="14.25" customHeight="1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</row>
    <row r="910" spans="1:37" ht="14.25" customHeight="1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</row>
    <row r="911" spans="1:37" ht="14.25" customHeight="1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</row>
    <row r="912" spans="1:37" ht="14.25" customHeight="1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</row>
    <row r="913" spans="1:37" ht="14.25" customHeight="1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</row>
    <row r="914" spans="1:37" ht="14.25" customHeight="1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</row>
    <row r="915" spans="1:37" ht="14.25" customHeight="1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</row>
    <row r="916" spans="1:37" ht="14.25" customHeight="1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</row>
    <row r="917" spans="1:37" ht="14.25" customHeight="1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</row>
    <row r="918" spans="1:37" ht="14.25" customHeight="1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</row>
    <row r="919" spans="1:37" ht="14.25" customHeight="1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</row>
    <row r="920" spans="1:37" ht="14.25" customHeight="1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</row>
    <row r="921" spans="1:37" ht="14.25" customHeight="1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</row>
    <row r="922" spans="1:37" ht="14.25" customHeight="1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</row>
    <row r="923" spans="1:37" ht="14.25" customHeight="1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</row>
    <row r="924" spans="1:37" ht="14.25" customHeight="1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</row>
    <row r="925" spans="1:37" ht="14.25" customHeight="1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</row>
    <row r="926" spans="1:37" ht="14.25" customHeight="1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</row>
    <row r="927" spans="1:37" ht="14.25" customHeight="1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</row>
    <row r="928" spans="1:37" ht="14.25" customHeight="1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</row>
    <row r="929" spans="1:37" ht="14.25" customHeight="1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</row>
    <row r="930" spans="1:37" ht="14.25" customHeight="1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</row>
    <row r="931" spans="1:37" ht="14.25" customHeight="1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</row>
    <row r="932" spans="1:37" ht="14.25" customHeight="1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</row>
    <row r="933" spans="1:37" ht="14.25" customHeight="1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</row>
    <row r="934" spans="1:37" ht="14.25" customHeight="1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</row>
    <row r="935" spans="1:37" ht="14.25" customHeight="1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</row>
    <row r="936" spans="1:37" ht="14.25" customHeight="1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</row>
    <row r="937" spans="1:37" ht="14.25" customHeight="1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</row>
    <row r="938" spans="1:37" ht="14.25" customHeight="1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</row>
    <row r="939" spans="1:37" ht="14.25" customHeight="1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</row>
    <row r="940" spans="1:37" ht="14.25" customHeight="1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</row>
    <row r="941" spans="1:37" ht="14.25" customHeight="1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</row>
    <row r="942" spans="1:37" ht="14.25" customHeight="1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</row>
    <row r="943" spans="1:37" ht="14.25" customHeight="1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</row>
    <row r="944" spans="1:37" ht="14.25" customHeight="1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</row>
    <row r="945" spans="1:37" ht="14.25" customHeight="1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</row>
    <row r="946" spans="1:37" ht="14.25" customHeight="1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</row>
    <row r="947" spans="1:37" ht="14.25" customHeight="1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</row>
    <row r="948" spans="1:37" ht="14.25" customHeight="1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</row>
    <row r="949" spans="1:37" ht="14.25" customHeight="1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</row>
    <row r="950" spans="1:37" ht="14.25" customHeight="1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</row>
    <row r="951" spans="1:37" ht="14.25" customHeight="1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</row>
    <row r="952" spans="1:37" ht="14.25" customHeight="1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</row>
    <row r="953" spans="1:37" ht="14.25" customHeight="1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</row>
    <row r="954" spans="1:37" ht="14.25" customHeight="1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</row>
    <row r="955" spans="1:37" ht="14.25" customHeight="1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</row>
    <row r="956" spans="1:37" ht="14.25" customHeight="1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</row>
    <row r="957" spans="1:37" ht="14.25" customHeight="1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</row>
    <row r="958" spans="1:37" ht="14.25" customHeight="1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</row>
    <row r="959" spans="1:37" ht="14.25" customHeight="1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</row>
    <row r="960" spans="1:37" ht="14.25" customHeight="1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</row>
    <row r="961" spans="1:37" ht="14.25" customHeight="1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</row>
    <row r="962" spans="1:37" ht="14.25" customHeight="1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</row>
    <row r="963" spans="1:37" ht="14.25" customHeight="1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</row>
    <row r="964" spans="1:37" ht="14.25" customHeight="1" x14ac:dyDescent="0.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</row>
    <row r="965" spans="1:37" ht="14.25" customHeight="1" x14ac:dyDescent="0.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</row>
    <row r="966" spans="1:37" ht="14.25" customHeight="1" x14ac:dyDescent="0.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</row>
    <row r="967" spans="1:37" ht="14.25" customHeight="1" x14ac:dyDescent="0.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</row>
    <row r="968" spans="1:37" ht="14.25" customHeight="1" x14ac:dyDescent="0.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</row>
    <row r="969" spans="1:37" ht="14.25" customHeight="1" x14ac:dyDescent="0.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</row>
    <row r="970" spans="1:37" ht="14.25" customHeight="1" x14ac:dyDescent="0.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</row>
    <row r="971" spans="1:37" ht="14.25" customHeight="1" x14ac:dyDescent="0.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</row>
    <row r="972" spans="1:37" ht="14.25" customHeight="1" x14ac:dyDescent="0.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</row>
    <row r="973" spans="1:37" ht="14.25" customHeight="1" x14ac:dyDescent="0.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</row>
    <row r="974" spans="1:37" ht="14.25" customHeight="1" x14ac:dyDescent="0.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</row>
    <row r="975" spans="1:37" ht="14.25" customHeight="1" x14ac:dyDescent="0.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</row>
    <row r="976" spans="1:37" ht="14.25" customHeight="1" x14ac:dyDescent="0.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</row>
    <row r="977" spans="1:37" ht="14.25" customHeight="1" x14ac:dyDescent="0.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</row>
    <row r="978" spans="1:37" ht="14.25" customHeight="1" x14ac:dyDescent="0.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</row>
    <row r="979" spans="1:37" ht="14.25" customHeight="1" x14ac:dyDescent="0.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</row>
    <row r="980" spans="1:37" ht="14.25" customHeight="1" x14ac:dyDescent="0.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</row>
    <row r="981" spans="1:37" ht="14.25" customHeight="1" x14ac:dyDescent="0.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</row>
    <row r="982" spans="1:37" ht="14.25" customHeight="1" x14ac:dyDescent="0.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</row>
    <row r="983" spans="1:37" ht="14.25" customHeight="1" x14ac:dyDescent="0.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</row>
    <row r="984" spans="1:37" ht="14.25" customHeight="1" x14ac:dyDescent="0.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</row>
    <row r="985" spans="1:37" ht="14.25" customHeight="1" x14ac:dyDescent="0.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</row>
    <row r="986" spans="1:37" ht="14.25" customHeight="1" x14ac:dyDescent="0.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</row>
    <row r="987" spans="1:37" ht="14.25" customHeight="1" x14ac:dyDescent="0.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</row>
    <row r="988" spans="1:37" ht="14.25" customHeight="1" x14ac:dyDescent="0.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</row>
    <row r="989" spans="1:37" ht="14.25" customHeight="1" x14ac:dyDescent="0.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</row>
    <row r="990" spans="1:37" ht="14.25" customHeight="1" x14ac:dyDescent="0.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</row>
    <row r="991" spans="1:37" ht="14.25" customHeight="1" x14ac:dyDescent="0.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</row>
    <row r="992" spans="1:37" ht="14.25" customHeight="1" x14ac:dyDescent="0.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</row>
    <row r="993" spans="1:37" ht="14.25" customHeight="1" x14ac:dyDescent="0.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</row>
    <row r="994" spans="1:37" ht="14.25" customHeight="1" x14ac:dyDescent="0.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</row>
    <row r="995" spans="1:37" ht="14.25" customHeight="1" x14ac:dyDescent="0.2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</row>
    <row r="996" spans="1:37" ht="14.25" customHeight="1" x14ac:dyDescent="0.2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</row>
    <row r="997" spans="1:37" ht="14.25" customHeight="1" x14ac:dyDescent="0.2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</row>
    <row r="998" spans="1:37" ht="14.25" customHeight="1" x14ac:dyDescent="0.2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</row>
    <row r="999" spans="1:37" ht="14.25" customHeight="1" x14ac:dyDescent="0.2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</row>
    <row r="1000" spans="1:37" ht="14.25" customHeight="1" x14ac:dyDescent="0.2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</row>
    <row r="1001" spans="1:37" ht="14.25" customHeight="1" x14ac:dyDescent="0.2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/>
    </row>
  </sheetData>
  <mergeCells count="69">
    <mergeCell ref="L65:O67"/>
    <mergeCell ref="L69:O69"/>
    <mergeCell ref="A70:O70"/>
    <mergeCell ref="B71:D71"/>
    <mergeCell ref="E71:I71"/>
    <mergeCell ref="J71:O71"/>
    <mergeCell ref="G65:H65"/>
    <mergeCell ref="I65:J65"/>
    <mergeCell ref="K65:K67"/>
    <mergeCell ref="G66:G67"/>
    <mergeCell ref="H66:H67"/>
    <mergeCell ref="I66:I67"/>
    <mergeCell ref="J66:J67"/>
    <mergeCell ref="L68:O68"/>
    <mergeCell ref="B72:D72"/>
    <mergeCell ref="B73:D73"/>
    <mergeCell ref="E73:I73"/>
    <mergeCell ref="J73:O73"/>
    <mergeCell ref="B74:D74"/>
    <mergeCell ref="E74:I74"/>
    <mergeCell ref="J74:O74"/>
    <mergeCell ref="E72:I72"/>
    <mergeCell ref="J72:O72"/>
    <mergeCell ref="A75:P75"/>
    <mergeCell ref="B91:D91"/>
    <mergeCell ref="E91:I91"/>
    <mergeCell ref="J91:O91"/>
    <mergeCell ref="B79:D79"/>
    <mergeCell ref="B89:D89"/>
    <mergeCell ref="E89:I89"/>
    <mergeCell ref="J89:O89"/>
    <mergeCell ref="B90:D90"/>
    <mergeCell ref="E90:I90"/>
    <mergeCell ref="J90:O90"/>
    <mergeCell ref="A1:Q1"/>
    <mergeCell ref="A2:Q2"/>
    <mergeCell ref="A3:Q3"/>
    <mergeCell ref="A4:C4"/>
    <mergeCell ref="D4:M4"/>
    <mergeCell ref="N4:P4"/>
    <mergeCell ref="N5:P5"/>
    <mergeCell ref="A5:C5"/>
    <mergeCell ref="A6:A8"/>
    <mergeCell ref="B6:B8"/>
    <mergeCell ref="C6:C8"/>
    <mergeCell ref="D6:D8"/>
    <mergeCell ref="E6:E8"/>
    <mergeCell ref="G6:H6"/>
    <mergeCell ref="H7:H8"/>
    <mergeCell ref="K7:K8"/>
    <mergeCell ref="L7:L8"/>
    <mergeCell ref="M7:M8"/>
    <mergeCell ref="N7:N8"/>
    <mergeCell ref="I6:J6"/>
    <mergeCell ref="K6:L6"/>
    <mergeCell ref="M6:N6"/>
    <mergeCell ref="O6:P6"/>
    <mergeCell ref="Q6:Q8"/>
    <mergeCell ref="I7:I8"/>
    <mergeCell ref="J7:J8"/>
    <mergeCell ref="O7:O8"/>
    <mergeCell ref="F7:F8"/>
    <mergeCell ref="G7:G8"/>
    <mergeCell ref="A65:A67"/>
    <mergeCell ref="B65:B67"/>
    <mergeCell ref="C65:C67"/>
    <mergeCell ref="D65:D67"/>
    <mergeCell ref="E65:E67"/>
    <mergeCell ref="F66:F67"/>
  </mergeCells>
  <pageMargins left="0.7" right="0.7" top="1.9312499999999999" bottom="1.9312499999999999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000"/>
  <sheetViews>
    <sheetView workbookViewId="0">
      <selection activeCell="A9" sqref="A9:B24"/>
    </sheetView>
  </sheetViews>
  <sheetFormatPr defaultColWidth="12.625" defaultRowHeight="15" customHeight="1" x14ac:dyDescent="0.2"/>
  <cols>
    <col min="1" max="1" width="11.375" customWidth="1"/>
    <col min="2" max="2" width="6.625" customWidth="1"/>
    <col min="3" max="3" width="11.25" customWidth="1"/>
    <col min="4" max="4" width="8.375" customWidth="1"/>
    <col min="5" max="5" width="9.375" customWidth="1"/>
    <col min="6" max="6" width="10.375" customWidth="1"/>
    <col min="7" max="7" width="10.875" customWidth="1"/>
    <col min="8" max="8" width="10.625" customWidth="1"/>
    <col min="9" max="9" width="11.75" customWidth="1"/>
    <col min="10" max="10" width="11.875" customWidth="1"/>
    <col min="11" max="26" width="8.375" customWidth="1"/>
    <col min="27" max="28" width="13.875" customWidth="1"/>
  </cols>
  <sheetData>
    <row r="1" spans="1:28" ht="14.25" customHeight="1" x14ac:dyDescent="0.25">
      <c r="A1" s="1" t="s">
        <v>2</v>
      </c>
      <c r="B1" s="2"/>
      <c r="C1" s="3" t="s">
        <v>5</v>
      </c>
      <c r="D1" s="5"/>
      <c r="E1" s="5"/>
      <c r="F1" s="5"/>
      <c r="G1" s="5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6"/>
      <c r="AB1" s="6"/>
    </row>
    <row r="2" spans="1:28" ht="14.25" customHeight="1" x14ac:dyDescent="0.25">
      <c r="A2" s="7" t="s">
        <v>7</v>
      </c>
      <c r="B2" s="2"/>
      <c r="C2" s="3" t="s">
        <v>8</v>
      </c>
      <c r="D2" s="8"/>
      <c r="E2" s="8"/>
      <c r="F2" s="8"/>
      <c r="G2" s="8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6"/>
      <c r="AB2" s="6"/>
    </row>
    <row r="3" spans="1:28" ht="14.25" customHeight="1" x14ac:dyDescent="0.25">
      <c r="A3" s="7" t="s">
        <v>10</v>
      </c>
      <c r="B3" s="2"/>
      <c r="C3" s="10" t="s">
        <v>11</v>
      </c>
      <c r="D3" s="8"/>
      <c r="E3" s="8"/>
      <c r="F3" s="8"/>
      <c r="G3" s="8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6"/>
      <c r="AB3" s="6"/>
    </row>
    <row r="4" spans="1:28" ht="14.25" customHeight="1" x14ac:dyDescent="0.25">
      <c r="A4" s="7" t="s">
        <v>14</v>
      </c>
      <c r="B4" s="2"/>
      <c r="C4" s="13" t="str">
        <f>CLEAN('SUMMARY_-_GCM'!D5)</f>
        <v>October 1-15, 2026</v>
      </c>
      <c r="D4" s="13"/>
      <c r="E4" s="13"/>
      <c r="F4" s="13"/>
      <c r="G4" s="13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6"/>
      <c r="AB4" s="6"/>
    </row>
    <row r="5" spans="1:28" ht="14.25" customHeight="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6"/>
      <c r="AB5" s="6"/>
    </row>
    <row r="6" spans="1:28" ht="14.25" customHeight="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6"/>
      <c r="AB6" s="6"/>
    </row>
    <row r="7" spans="1:28" ht="15" customHeight="1" x14ac:dyDescent="0.25">
      <c r="A7" s="129" t="s">
        <v>25</v>
      </c>
      <c r="B7" s="123"/>
      <c r="C7" s="129" t="s">
        <v>27</v>
      </c>
      <c r="D7" s="123"/>
      <c r="E7" s="127" t="s">
        <v>29</v>
      </c>
      <c r="F7" s="128"/>
      <c r="G7" s="129" t="s">
        <v>32</v>
      </c>
      <c r="H7" s="123"/>
      <c r="I7" s="127" t="s">
        <v>29</v>
      </c>
      <c r="J7" s="128"/>
      <c r="K7" s="19"/>
      <c r="L7" s="175"/>
      <c r="M7" s="149"/>
      <c r="N7" s="175"/>
      <c r="O7" s="149"/>
      <c r="P7" s="175"/>
      <c r="Q7" s="149"/>
      <c r="R7" s="175"/>
      <c r="S7" s="149"/>
      <c r="T7" s="175"/>
      <c r="U7" s="149"/>
      <c r="V7" s="175"/>
      <c r="W7" s="149"/>
      <c r="X7" s="2"/>
      <c r="Y7" s="2"/>
      <c r="Z7" s="6"/>
      <c r="AA7" s="6"/>
    </row>
    <row r="8" spans="1:28" ht="15" customHeight="1" x14ac:dyDescent="0.25">
      <c r="A8" s="75" t="s">
        <v>167</v>
      </c>
      <c r="B8" s="20" t="s">
        <v>34</v>
      </c>
      <c r="C8" s="21" t="s">
        <v>35</v>
      </c>
      <c r="D8" s="21" t="s">
        <v>36</v>
      </c>
      <c r="E8" s="22" t="s">
        <v>35</v>
      </c>
      <c r="F8" s="22" t="s">
        <v>36</v>
      </c>
      <c r="G8" s="21" t="s">
        <v>35</v>
      </c>
      <c r="H8" s="21" t="s">
        <v>36</v>
      </c>
      <c r="I8" s="22" t="s">
        <v>35</v>
      </c>
      <c r="J8" s="22" t="s">
        <v>36</v>
      </c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2"/>
      <c r="Y8" s="2"/>
      <c r="Z8" s="6"/>
      <c r="AA8" s="6"/>
    </row>
    <row r="9" spans="1:28" ht="14.25" customHeight="1" x14ac:dyDescent="0.2">
      <c r="A9" s="96"/>
      <c r="B9" s="96"/>
      <c r="C9" s="90"/>
      <c r="D9" s="90"/>
      <c r="E9" s="97"/>
      <c r="F9" s="97"/>
      <c r="G9" s="98"/>
      <c r="H9" s="92"/>
      <c r="I9" s="97"/>
      <c r="J9" s="97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6"/>
      <c r="AA9" s="6"/>
    </row>
    <row r="10" spans="1:28" ht="14.25" customHeight="1" x14ac:dyDescent="0.2">
      <c r="A10" s="96"/>
      <c r="B10" s="96"/>
      <c r="C10" s="98"/>
      <c r="D10" s="92"/>
      <c r="E10" s="97"/>
      <c r="F10" s="97"/>
      <c r="G10" s="98"/>
      <c r="H10" s="92"/>
      <c r="I10" s="97"/>
      <c r="J10" s="97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6"/>
      <c r="AA10" s="6"/>
    </row>
    <row r="11" spans="1:28" ht="14.25" customHeight="1" x14ac:dyDescent="0.2">
      <c r="A11" s="96"/>
      <c r="B11" s="96"/>
      <c r="C11" s="98"/>
      <c r="D11" s="92"/>
      <c r="E11" s="97"/>
      <c r="F11" s="97"/>
      <c r="G11" s="99"/>
      <c r="H11" s="92"/>
      <c r="I11" s="97"/>
      <c r="J11" s="97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6"/>
      <c r="AA11" s="6"/>
    </row>
    <row r="12" spans="1:28" ht="14.25" customHeight="1" x14ac:dyDescent="0.2">
      <c r="A12" s="96"/>
      <c r="B12" s="96"/>
      <c r="C12" s="98"/>
      <c r="D12" s="92"/>
      <c r="E12" s="97"/>
      <c r="F12" s="97"/>
      <c r="G12" s="98"/>
      <c r="H12" s="92"/>
      <c r="I12" s="97"/>
      <c r="J12" s="97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6"/>
      <c r="AA12" s="6"/>
    </row>
    <row r="13" spans="1:28" ht="14.25" customHeight="1" x14ac:dyDescent="0.2">
      <c r="A13" s="96"/>
      <c r="B13" s="96"/>
      <c r="C13" s="99"/>
      <c r="D13" s="92"/>
      <c r="E13" s="97"/>
      <c r="F13" s="97"/>
      <c r="G13" s="98"/>
      <c r="H13" s="92"/>
      <c r="I13" s="97"/>
      <c r="J13" s="97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6"/>
      <c r="AA13" s="6"/>
    </row>
    <row r="14" spans="1:28" ht="14.25" customHeight="1" x14ac:dyDescent="0.2">
      <c r="A14" s="96"/>
      <c r="B14" s="96"/>
      <c r="C14" s="98"/>
      <c r="D14" s="92"/>
      <c r="E14" s="97"/>
      <c r="F14" s="97"/>
      <c r="G14" s="90"/>
      <c r="H14" s="90"/>
      <c r="I14" s="97"/>
      <c r="J14" s="97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6"/>
      <c r="AA14" s="6"/>
    </row>
    <row r="15" spans="1:28" ht="14.25" customHeight="1" x14ac:dyDescent="0.2">
      <c r="A15" s="96"/>
      <c r="B15" s="96"/>
      <c r="C15" s="98"/>
      <c r="D15" s="92"/>
      <c r="E15" s="97"/>
      <c r="F15" s="97"/>
      <c r="G15" s="99"/>
      <c r="H15" s="92"/>
      <c r="I15" s="97"/>
      <c r="J15" s="97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6"/>
      <c r="AA15" s="6"/>
    </row>
    <row r="16" spans="1:28" ht="14.25" customHeight="1" x14ac:dyDescent="0.2">
      <c r="A16" s="96"/>
      <c r="B16" s="96"/>
      <c r="C16" s="90"/>
      <c r="D16" s="90"/>
      <c r="E16" s="97"/>
      <c r="F16" s="97"/>
      <c r="G16" s="98"/>
      <c r="H16" s="92"/>
      <c r="I16" s="97"/>
      <c r="J16" s="97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6"/>
      <c r="AA16" s="6"/>
    </row>
    <row r="17" spans="1:28" ht="14.25" customHeight="1" x14ac:dyDescent="0.2">
      <c r="A17" s="96"/>
      <c r="B17" s="96"/>
      <c r="C17" s="100"/>
      <c r="D17" s="92"/>
      <c r="E17" s="97"/>
      <c r="F17" s="97"/>
      <c r="G17" s="100"/>
      <c r="H17" s="92"/>
      <c r="I17" s="97"/>
      <c r="J17" s="97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6"/>
      <c r="AA17" s="6"/>
    </row>
    <row r="18" spans="1:28" ht="14.25" customHeight="1" x14ac:dyDescent="0.2">
      <c r="A18" s="96"/>
      <c r="B18" s="96"/>
      <c r="C18" s="100"/>
      <c r="D18" s="92"/>
      <c r="E18" s="97"/>
      <c r="F18" s="97"/>
      <c r="G18" s="98"/>
      <c r="H18" s="96"/>
      <c r="I18" s="97"/>
      <c r="J18" s="97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6"/>
      <c r="AA18" s="6"/>
    </row>
    <row r="19" spans="1:28" ht="14.25" customHeight="1" x14ac:dyDescent="0.2">
      <c r="A19" s="96"/>
      <c r="B19" s="96"/>
      <c r="C19" s="100"/>
      <c r="D19" s="92"/>
      <c r="E19" s="97"/>
      <c r="F19" s="97"/>
      <c r="G19" s="100"/>
      <c r="H19" s="92"/>
      <c r="I19" s="97"/>
      <c r="J19" s="97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6"/>
      <c r="AA19" s="6"/>
    </row>
    <row r="20" spans="1:28" ht="14.25" customHeight="1" x14ac:dyDescent="0.2">
      <c r="A20" s="96"/>
      <c r="B20" s="96"/>
      <c r="C20" s="100"/>
      <c r="D20" s="92"/>
      <c r="E20" s="97"/>
      <c r="F20" s="97"/>
      <c r="G20" s="100"/>
      <c r="H20" s="92"/>
      <c r="I20" s="97"/>
      <c r="J20" s="97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 spans="1:28" ht="15.75" customHeight="1" x14ac:dyDescent="0.2">
      <c r="A21" s="96"/>
      <c r="B21" s="96"/>
      <c r="C21" s="100"/>
      <c r="D21" s="92"/>
      <c r="E21" s="97"/>
      <c r="F21" s="97"/>
      <c r="G21" s="90"/>
      <c r="H21" s="90"/>
      <c r="I21" s="97"/>
      <c r="J21" s="97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 spans="1:28" ht="15.75" customHeight="1" x14ac:dyDescent="0.2">
      <c r="A22" s="96"/>
      <c r="B22" s="96"/>
      <c r="C22" s="100"/>
      <c r="D22" s="92"/>
      <c r="E22" s="97"/>
      <c r="F22" s="97"/>
      <c r="G22" s="100"/>
      <c r="H22" s="92"/>
      <c r="I22" s="97"/>
      <c r="J22" s="97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 spans="1:28" ht="15.75" customHeight="1" x14ac:dyDescent="0.2">
      <c r="A23" s="96"/>
      <c r="B23" s="96"/>
      <c r="C23" s="90"/>
      <c r="D23" s="90"/>
      <c r="E23" s="97"/>
      <c r="F23" s="97"/>
      <c r="G23" s="100"/>
      <c r="H23" s="92"/>
      <c r="I23" s="97"/>
      <c r="J23" s="97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 spans="1:28" ht="15.75" customHeight="1" x14ac:dyDescent="0.2">
      <c r="A24" s="101"/>
      <c r="B24" s="101"/>
      <c r="C24" s="101"/>
      <c r="D24" s="101"/>
      <c r="E24" s="97"/>
      <c r="F24" s="97"/>
      <c r="G24" s="101"/>
      <c r="H24" s="101"/>
      <c r="I24" s="97"/>
      <c r="J24" s="97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 spans="1:28" ht="15.75" customHeight="1" x14ac:dyDescent="0.2">
      <c r="A25" s="38"/>
      <c r="B25" s="3"/>
      <c r="C25" s="3"/>
      <c r="D25" s="3"/>
      <c r="E25" s="3"/>
      <c r="F25" s="3"/>
      <c r="G25" s="3"/>
      <c r="H25" s="7"/>
      <c r="I25" s="7"/>
      <c r="J25" s="7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 spans="1:28" ht="14.25" customHeight="1" x14ac:dyDescent="0.2">
      <c r="A26" s="172" t="s">
        <v>70</v>
      </c>
      <c r="B26" s="123"/>
      <c r="C26" s="173">
        <f>COUNT(C9:C23)</f>
        <v>0</v>
      </c>
      <c r="D26" s="122"/>
      <c r="E26" s="122"/>
      <c r="F26" s="123"/>
      <c r="G26" s="173">
        <f>COUNT(G9:G23)</f>
        <v>0</v>
      </c>
      <c r="H26" s="122"/>
      <c r="I26" s="122"/>
      <c r="J26" s="123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 spans="1:28" ht="15.75" customHeight="1" x14ac:dyDescent="0.2">
      <c r="A27" s="172" t="s">
        <v>30</v>
      </c>
      <c r="B27" s="123"/>
      <c r="C27" s="171">
        <f>COUNTIF(C9:C23,"Absent")</f>
        <v>0</v>
      </c>
      <c r="D27" s="122"/>
      <c r="E27" s="122"/>
      <c r="F27" s="123"/>
      <c r="G27" s="171">
        <f>COUNTIF(G9:G23,"Absent")</f>
        <v>0</v>
      </c>
      <c r="H27" s="122"/>
      <c r="I27" s="122"/>
      <c r="J27" s="123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 spans="1:28" ht="15.75" customHeight="1" x14ac:dyDescent="0.2">
      <c r="A28" s="170" t="s">
        <v>24</v>
      </c>
      <c r="B28" s="123"/>
      <c r="C28" s="171">
        <f>COUNTIF(C9:C23,"Leave")+COUNTIF(C9:C23,"VL")</f>
        <v>0</v>
      </c>
      <c r="D28" s="122"/>
      <c r="E28" s="122"/>
      <c r="F28" s="123"/>
      <c r="G28" s="171">
        <f>COUNTIF(G9:G23,"Leave")+COUNTIF(G9:G23,"VL")</f>
        <v>0</v>
      </c>
      <c r="H28" s="122"/>
      <c r="I28" s="122"/>
      <c r="J28" s="123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 spans="1:28" ht="15.75" customHeight="1" x14ac:dyDescent="0.2">
      <c r="A29" s="170" t="s">
        <v>26</v>
      </c>
      <c r="B29" s="123"/>
      <c r="C29" s="174">
        <f>COUNTIF(C9:C23,"SL")</f>
        <v>0</v>
      </c>
      <c r="D29" s="122"/>
      <c r="E29" s="122"/>
      <c r="F29" s="123"/>
      <c r="G29" s="174">
        <f>COUNTIF(G9:G23,"SL")</f>
        <v>0</v>
      </c>
      <c r="H29" s="122"/>
      <c r="I29" s="122"/>
      <c r="J29" s="123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 spans="1:28" ht="15.75" customHeight="1" x14ac:dyDescent="0.2">
      <c r="A30" s="170" t="s">
        <v>76</v>
      </c>
      <c r="B30" s="123"/>
      <c r="C30" s="171">
        <f>COUNTIF(C9:C23,"ML")</f>
        <v>0</v>
      </c>
      <c r="D30" s="122"/>
      <c r="E30" s="122"/>
      <c r="F30" s="123"/>
      <c r="G30" s="171">
        <f>COUNTIF(G9:G23,"ML")</f>
        <v>0</v>
      </c>
      <c r="H30" s="122"/>
      <c r="I30" s="122"/>
      <c r="J30" s="123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 spans="1:28" ht="15.75" customHeight="1" x14ac:dyDescent="0.25">
      <c r="A31" s="2"/>
      <c r="B31" s="2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6"/>
      <c r="AB31" s="6"/>
    </row>
    <row r="32" spans="1:28" ht="15.75" customHeight="1" x14ac:dyDescent="0.25">
      <c r="A32" s="2"/>
      <c r="B32" s="2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6"/>
      <c r="AB32" s="6"/>
    </row>
    <row r="33" spans="1:28" ht="15.75" customHeight="1" x14ac:dyDescent="0.25">
      <c r="A33" s="2"/>
      <c r="B33" s="2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6"/>
      <c r="AB33" s="6"/>
    </row>
    <row r="34" spans="1:28" ht="15.75" customHeight="1" x14ac:dyDescent="0.25">
      <c r="A34" s="2"/>
      <c r="B34" s="2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6"/>
      <c r="AB34" s="6"/>
    </row>
    <row r="35" spans="1:28" ht="15.75" customHeight="1" x14ac:dyDescent="0.25">
      <c r="A35" s="2"/>
      <c r="B35" s="2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6"/>
      <c r="AB35" s="6"/>
    </row>
    <row r="36" spans="1:28" ht="15.75" customHeight="1" x14ac:dyDescent="0.25">
      <c r="A36" s="2"/>
      <c r="B36" s="2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6"/>
      <c r="AB36" s="6"/>
    </row>
    <row r="37" spans="1:28" ht="15.75" customHeight="1" x14ac:dyDescent="0.25">
      <c r="A37" s="2"/>
      <c r="B37" s="2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6"/>
      <c r="AB37" s="6"/>
    </row>
    <row r="38" spans="1:28" ht="15.75" customHeight="1" x14ac:dyDescent="0.25">
      <c r="A38" s="2"/>
      <c r="B38" s="2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6"/>
      <c r="AB38" s="6"/>
    </row>
    <row r="39" spans="1:28" ht="15.75" customHeight="1" x14ac:dyDescent="0.25">
      <c r="A39" s="2"/>
      <c r="B39" s="2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6"/>
      <c r="AB39" s="6"/>
    </row>
    <row r="40" spans="1:28" ht="15.75" customHeight="1" x14ac:dyDescent="0.25">
      <c r="A40" s="2"/>
      <c r="B40" s="2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6"/>
      <c r="AB40" s="6"/>
    </row>
    <row r="41" spans="1:28" ht="15.75" customHeight="1" x14ac:dyDescent="0.25">
      <c r="A41" s="2"/>
      <c r="B41" s="2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6"/>
      <c r="AB41" s="6"/>
    </row>
    <row r="42" spans="1:28" ht="15.75" customHeight="1" x14ac:dyDescent="0.25">
      <c r="A42" s="2"/>
      <c r="B42" s="2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6"/>
      <c r="AB42" s="6"/>
    </row>
    <row r="43" spans="1:28" ht="15.75" customHeight="1" x14ac:dyDescent="0.25">
      <c r="A43" s="2"/>
      <c r="B43" s="2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6"/>
      <c r="AB43" s="6"/>
    </row>
    <row r="44" spans="1:28" ht="15.75" customHeight="1" x14ac:dyDescent="0.25">
      <c r="A44" s="2"/>
      <c r="B44" s="2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6"/>
      <c r="AB44" s="6"/>
    </row>
    <row r="45" spans="1:28" ht="15.75" customHeight="1" x14ac:dyDescent="0.25">
      <c r="A45" s="2"/>
      <c r="B45" s="2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6"/>
      <c r="AB45" s="6"/>
    </row>
    <row r="46" spans="1:28" ht="15.75" customHeight="1" x14ac:dyDescent="0.25">
      <c r="A46" s="2"/>
      <c r="B46" s="2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6"/>
      <c r="AB46" s="6"/>
    </row>
    <row r="47" spans="1:28" ht="15.75" customHeight="1" x14ac:dyDescent="0.25">
      <c r="A47" s="2"/>
      <c r="B47" s="2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6"/>
      <c r="AB47" s="6"/>
    </row>
    <row r="48" spans="1:28" ht="15.75" customHeight="1" x14ac:dyDescent="0.25">
      <c r="A48" s="2"/>
      <c r="B48" s="2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6"/>
      <c r="AB48" s="6"/>
    </row>
    <row r="49" spans="1:28" ht="15.75" customHeight="1" x14ac:dyDescent="0.25">
      <c r="A49" s="2"/>
      <c r="B49" s="2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6"/>
      <c r="AB49" s="6"/>
    </row>
    <row r="50" spans="1:28" ht="15.75" customHeight="1" x14ac:dyDescent="0.25">
      <c r="A50" s="2"/>
      <c r="B50" s="2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6"/>
      <c r="AB50" s="6"/>
    </row>
    <row r="51" spans="1:28" ht="15.75" customHeight="1" x14ac:dyDescent="0.25">
      <c r="A51" s="2"/>
      <c r="B51" s="2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6"/>
      <c r="AB51" s="6"/>
    </row>
    <row r="52" spans="1:28" ht="15.75" customHeight="1" x14ac:dyDescent="0.25">
      <c r="A52" s="2"/>
      <c r="B52" s="2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6"/>
      <c r="AB52" s="6"/>
    </row>
    <row r="53" spans="1:28" ht="15.75" customHeight="1" x14ac:dyDescent="0.25">
      <c r="A53" s="2"/>
      <c r="B53" s="2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6"/>
      <c r="AB53" s="6"/>
    </row>
    <row r="54" spans="1:28" ht="15.75" customHeight="1" x14ac:dyDescent="0.25">
      <c r="A54" s="2"/>
      <c r="B54" s="2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6"/>
      <c r="AB54" s="6"/>
    </row>
    <row r="55" spans="1:28" ht="15.75" customHeight="1" x14ac:dyDescent="0.25">
      <c r="A55" s="2"/>
      <c r="B55" s="2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6"/>
      <c r="AB55" s="6"/>
    </row>
    <row r="56" spans="1:28" ht="15.75" customHeight="1" x14ac:dyDescent="0.25">
      <c r="A56" s="2"/>
      <c r="B56" s="2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6"/>
      <c r="AB56" s="6"/>
    </row>
    <row r="57" spans="1:28" ht="15.75" customHeight="1" x14ac:dyDescent="0.25">
      <c r="A57" s="2"/>
      <c r="B57" s="2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6"/>
      <c r="AB57" s="6"/>
    </row>
    <row r="58" spans="1:28" ht="15.75" customHeight="1" x14ac:dyDescent="0.25">
      <c r="A58" s="2"/>
      <c r="B58" s="2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6"/>
      <c r="AB58" s="6"/>
    </row>
    <row r="59" spans="1:28" ht="15.75" customHeight="1" x14ac:dyDescent="0.25">
      <c r="A59" s="2"/>
      <c r="B59" s="2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6"/>
      <c r="AB59" s="6"/>
    </row>
    <row r="60" spans="1:28" ht="15.75" customHeight="1" x14ac:dyDescent="0.25">
      <c r="A60" s="2"/>
      <c r="B60" s="2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6"/>
      <c r="AB60" s="6"/>
    </row>
    <row r="61" spans="1:28" ht="15.75" customHeight="1" x14ac:dyDescent="0.25">
      <c r="A61" s="2"/>
      <c r="B61" s="2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6"/>
      <c r="AB61" s="6"/>
    </row>
    <row r="62" spans="1:28" ht="15.75" customHeight="1" x14ac:dyDescent="0.25">
      <c r="A62" s="2"/>
      <c r="B62" s="2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6"/>
      <c r="AB62" s="6"/>
    </row>
    <row r="63" spans="1:28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6"/>
      <c r="AB63" s="6"/>
    </row>
    <row r="64" spans="1:28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6"/>
      <c r="AB64" s="6"/>
    </row>
    <row r="65" spans="1:28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6"/>
      <c r="AB65" s="6"/>
    </row>
    <row r="66" spans="1:28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6"/>
      <c r="AB66" s="6"/>
    </row>
    <row r="67" spans="1:28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6"/>
      <c r="AB67" s="6"/>
    </row>
    <row r="68" spans="1:28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6"/>
      <c r="AB68" s="6"/>
    </row>
    <row r="69" spans="1:28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6"/>
      <c r="AB69" s="6"/>
    </row>
    <row r="70" spans="1:28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6"/>
      <c r="AB70" s="6"/>
    </row>
    <row r="71" spans="1:28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6"/>
      <c r="AB71" s="6"/>
    </row>
    <row r="72" spans="1:28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6"/>
      <c r="AB72" s="6"/>
    </row>
    <row r="73" spans="1:28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6"/>
      <c r="AB73" s="6"/>
    </row>
    <row r="74" spans="1:28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6"/>
      <c r="AB74" s="6"/>
    </row>
    <row r="75" spans="1:28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6"/>
      <c r="AB75" s="6"/>
    </row>
    <row r="76" spans="1:28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6"/>
      <c r="AB76" s="6"/>
    </row>
    <row r="77" spans="1:28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6"/>
      <c r="AB77" s="6"/>
    </row>
    <row r="78" spans="1:28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6"/>
      <c r="AB78" s="6"/>
    </row>
    <row r="79" spans="1:28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6"/>
      <c r="AB79" s="6"/>
    </row>
    <row r="80" spans="1:28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6"/>
      <c r="AB80" s="6"/>
    </row>
    <row r="81" spans="1:28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6"/>
      <c r="AB81" s="6"/>
    </row>
    <row r="82" spans="1:28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6"/>
      <c r="AB82" s="6"/>
    </row>
    <row r="83" spans="1:28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6"/>
      <c r="AB83" s="6"/>
    </row>
    <row r="84" spans="1:28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6"/>
      <c r="AB84" s="6"/>
    </row>
    <row r="85" spans="1:28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6"/>
      <c r="AB85" s="6"/>
    </row>
    <row r="86" spans="1:28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6"/>
      <c r="AB86" s="6"/>
    </row>
    <row r="87" spans="1:28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6"/>
      <c r="AB87" s="6"/>
    </row>
    <row r="88" spans="1:28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6"/>
      <c r="AB88" s="6"/>
    </row>
    <row r="89" spans="1:28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6"/>
      <c r="AB89" s="6"/>
    </row>
    <row r="90" spans="1:28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6"/>
      <c r="AB90" s="6"/>
    </row>
    <row r="91" spans="1:28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6"/>
      <c r="AB91" s="6"/>
    </row>
    <row r="92" spans="1:28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6"/>
      <c r="AB92" s="6"/>
    </row>
    <row r="93" spans="1:28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6"/>
      <c r="AB93" s="6"/>
    </row>
    <row r="94" spans="1:28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6"/>
      <c r="AB94" s="6"/>
    </row>
    <row r="95" spans="1:28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6"/>
      <c r="AB95" s="6"/>
    </row>
    <row r="96" spans="1:28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6"/>
      <c r="AB96" s="6"/>
    </row>
    <row r="97" spans="1:28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6"/>
      <c r="AB97" s="6"/>
    </row>
    <row r="98" spans="1:28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6"/>
      <c r="AB98" s="6"/>
    </row>
    <row r="99" spans="1:28" ht="14.25" customHeight="1" x14ac:dyDescent="0.2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</row>
    <row r="100" spans="1:28" ht="14.25" customHeight="1" x14ac:dyDescent="0.2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</row>
    <row r="101" spans="1:28" ht="14.25" customHeight="1" x14ac:dyDescent="0.2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</row>
    <row r="102" spans="1:28" ht="14.25" customHeight="1" x14ac:dyDescent="0.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</row>
    <row r="103" spans="1:28" ht="14.25" customHeight="1" x14ac:dyDescent="0.2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</row>
    <row r="104" spans="1:28" ht="14.25" customHeight="1" x14ac:dyDescent="0.2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</row>
    <row r="105" spans="1:28" ht="14.25" customHeight="1" x14ac:dyDescent="0.2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</row>
    <row r="106" spans="1:28" ht="14.25" customHeight="1" x14ac:dyDescent="0.2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</row>
    <row r="107" spans="1:28" ht="14.25" customHeight="1" x14ac:dyDescent="0.2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</row>
    <row r="108" spans="1:28" ht="14.25" customHeight="1" x14ac:dyDescent="0.2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</row>
    <row r="109" spans="1:28" ht="14.25" customHeight="1" x14ac:dyDescent="0.2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</row>
    <row r="110" spans="1:28" ht="14.25" customHeight="1" x14ac:dyDescent="0.2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</row>
    <row r="111" spans="1:28" ht="14.25" customHeight="1" x14ac:dyDescent="0.2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</row>
    <row r="112" spans="1:28" ht="14.25" customHeight="1" x14ac:dyDescent="0.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</row>
    <row r="113" spans="1:28" ht="14.25" customHeight="1" x14ac:dyDescent="0.2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</row>
    <row r="114" spans="1:28" ht="14.25" customHeight="1" x14ac:dyDescent="0.2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</row>
    <row r="115" spans="1:28" ht="14.25" customHeight="1" x14ac:dyDescent="0.2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</row>
    <row r="116" spans="1:28" ht="14.25" customHeight="1" x14ac:dyDescent="0.2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</row>
    <row r="117" spans="1:28" ht="14.25" customHeight="1" x14ac:dyDescent="0.2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</row>
    <row r="118" spans="1:28" ht="14.25" customHeight="1" x14ac:dyDescent="0.2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</row>
    <row r="119" spans="1:28" ht="14.25" customHeight="1" x14ac:dyDescent="0.2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</row>
    <row r="120" spans="1:28" ht="14.25" customHeight="1" x14ac:dyDescent="0.2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</row>
    <row r="121" spans="1:28" ht="14.25" customHeight="1" x14ac:dyDescent="0.2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</row>
    <row r="122" spans="1:28" ht="14.25" customHeight="1" x14ac:dyDescent="0.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</row>
    <row r="123" spans="1:28" ht="14.25" customHeight="1" x14ac:dyDescent="0.2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</row>
    <row r="124" spans="1:28" ht="14.25" customHeight="1" x14ac:dyDescent="0.2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</row>
    <row r="125" spans="1:28" ht="14.25" customHeight="1" x14ac:dyDescent="0.2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</row>
    <row r="126" spans="1:28" ht="14.25" customHeight="1" x14ac:dyDescent="0.2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</row>
    <row r="127" spans="1:28" ht="14.25" customHeight="1" x14ac:dyDescent="0.2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</row>
    <row r="128" spans="1:28" ht="14.25" customHeight="1" x14ac:dyDescent="0.2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</row>
    <row r="129" spans="1:28" ht="14.25" customHeight="1" x14ac:dyDescent="0.2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</row>
    <row r="130" spans="1:28" ht="14.25" customHeight="1" x14ac:dyDescent="0.2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</row>
    <row r="131" spans="1:28" ht="14.25" customHeight="1" x14ac:dyDescent="0.2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</row>
    <row r="132" spans="1:28" ht="14.25" customHeight="1" x14ac:dyDescent="0.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</row>
    <row r="133" spans="1:28" ht="14.25" customHeight="1" x14ac:dyDescent="0.2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</row>
    <row r="134" spans="1:28" ht="14.25" customHeight="1" x14ac:dyDescent="0.2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</row>
    <row r="135" spans="1:28" ht="14.25" customHeight="1" x14ac:dyDescent="0.2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</row>
    <row r="136" spans="1:28" ht="14.25" customHeight="1" x14ac:dyDescent="0.2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</row>
    <row r="137" spans="1:28" ht="14.25" customHeight="1" x14ac:dyDescent="0.2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</row>
    <row r="138" spans="1:28" ht="14.25" customHeight="1" x14ac:dyDescent="0.2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</row>
    <row r="139" spans="1:28" ht="14.25" customHeight="1" x14ac:dyDescent="0.2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</row>
    <row r="140" spans="1:28" ht="14.25" customHeight="1" x14ac:dyDescent="0.2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</row>
    <row r="141" spans="1:28" ht="14.25" customHeight="1" x14ac:dyDescent="0.2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</row>
    <row r="142" spans="1:28" ht="14.25" customHeight="1" x14ac:dyDescent="0.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</row>
    <row r="143" spans="1:28" ht="14.25" customHeight="1" x14ac:dyDescent="0.2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</row>
    <row r="144" spans="1:28" ht="14.25" customHeight="1" x14ac:dyDescent="0.2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</row>
    <row r="145" spans="1:28" ht="14.25" customHeight="1" x14ac:dyDescent="0.2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</row>
    <row r="146" spans="1:28" ht="14.25" customHeight="1" x14ac:dyDescent="0.2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</row>
    <row r="147" spans="1:28" ht="14.25" customHeight="1" x14ac:dyDescent="0.2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</row>
    <row r="148" spans="1:28" ht="14.25" customHeight="1" x14ac:dyDescent="0.2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</row>
    <row r="149" spans="1:28" ht="14.25" customHeight="1" x14ac:dyDescent="0.2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</row>
    <row r="150" spans="1:28" ht="14.25" customHeight="1" x14ac:dyDescent="0.2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</row>
    <row r="151" spans="1:28" ht="14.25" customHeight="1" x14ac:dyDescent="0.2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</row>
    <row r="152" spans="1:28" ht="14.25" customHeight="1" x14ac:dyDescent="0.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</row>
    <row r="153" spans="1:28" ht="14.25" customHeight="1" x14ac:dyDescent="0.2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</row>
    <row r="154" spans="1:28" ht="14.25" customHeight="1" x14ac:dyDescent="0.2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</row>
    <row r="155" spans="1:28" ht="14.25" customHeight="1" x14ac:dyDescent="0.2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</row>
    <row r="156" spans="1:28" ht="14.25" customHeight="1" x14ac:dyDescent="0.2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</row>
    <row r="157" spans="1:28" ht="14.25" customHeight="1" x14ac:dyDescent="0.2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</row>
    <row r="158" spans="1:28" ht="14.25" customHeight="1" x14ac:dyDescent="0.2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</row>
    <row r="159" spans="1:28" ht="14.25" customHeight="1" x14ac:dyDescent="0.2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</row>
    <row r="160" spans="1:28" ht="14.25" customHeight="1" x14ac:dyDescent="0.2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</row>
    <row r="161" spans="1:28" ht="14.25" customHeight="1" x14ac:dyDescent="0.2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</row>
    <row r="162" spans="1:28" ht="14.25" customHeight="1" x14ac:dyDescent="0.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</row>
    <row r="163" spans="1:28" ht="14.25" customHeight="1" x14ac:dyDescent="0.2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</row>
    <row r="164" spans="1:28" ht="14.25" customHeight="1" x14ac:dyDescent="0.2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</row>
    <row r="165" spans="1:28" ht="14.25" customHeight="1" x14ac:dyDescent="0.2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</row>
    <row r="166" spans="1:28" ht="14.25" customHeight="1" x14ac:dyDescent="0.2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</row>
    <row r="167" spans="1:28" ht="14.25" customHeight="1" x14ac:dyDescent="0.2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</row>
    <row r="168" spans="1:28" ht="14.25" customHeight="1" x14ac:dyDescent="0.2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</row>
    <row r="169" spans="1:28" ht="14.25" customHeight="1" x14ac:dyDescent="0.2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</row>
    <row r="170" spans="1:28" ht="14.25" customHeight="1" x14ac:dyDescent="0.2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</row>
    <row r="171" spans="1:28" ht="14.25" customHeight="1" x14ac:dyDescent="0.2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</row>
    <row r="172" spans="1:28" ht="14.25" customHeight="1" x14ac:dyDescent="0.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</row>
    <row r="173" spans="1:28" ht="14.25" customHeight="1" x14ac:dyDescent="0.2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</row>
    <row r="174" spans="1:28" ht="14.25" customHeight="1" x14ac:dyDescent="0.2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</row>
    <row r="175" spans="1:28" ht="14.25" customHeight="1" x14ac:dyDescent="0.2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</row>
    <row r="176" spans="1:28" ht="14.25" customHeight="1" x14ac:dyDescent="0.2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</row>
    <row r="177" spans="1:28" ht="14.25" customHeight="1" x14ac:dyDescent="0.2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</row>
    <row r="178" spans="1:28" ht="14.25" customHeight="1" x14ac:dyDescent="0.2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</row>
    <row r="179" spans="1:28" ht="14.25" customHeight="1" x14ac:dyDescent="0.2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</row>
    <row r="180" spans="1:28" ht="14.25" customHeight="1" x14ac:dyDescent="0.2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</row>
    <row r="181" spans="1:28" ht="14.25" customHeight="1" x14ac:dyDescent="0.2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</row>
    <row r="182" spans="1:28" ht="14.25" customHeight="1" x14ac:dyDescent="0.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</row>
    <row r="183" spans="1:28" ht="14.25" customHeight="1" x14ac:dyDescent="0.2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</row>
    <row r="184" spans="1:28" ht="14.25" customHeight="1" x14ac:dyDescent="0.2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</row>
    <row r="185" spans="1:28" ht="14.25" customHeight="1" x14ac:dyDescent="0.2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</row>
    <row r="186" spans="1:28" ht="14.25" customHeight="1" x14ac:dyDescent="0.2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</row>
    <row r="187" spans="1:28" ht="14.25" customHeight="1" x14ac:dyDescent="0.2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</row>
    <row r="188" spans="1:28" ht="14.25" customHeight="1" x14ac:dyDescent="0.2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</row>
    <row r="189" spans="1:28" ht="14.25" customHeight="1" x14ac:dyDescent="0.2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</row>
    <row r="190" spans="1:28" ht="14.25" customHeight="1" x14ac:dyDescent="0.2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</row>
    <row r="191" spans="1:28" ht="14.25" customHeight="1" x14ac:dyDescent="0.2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</row>
    <row r="192" spans="1:28" ht="14.25" customHeight="1" x14ac:dyDescent="0.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</row>
    <row r="193" spans="1:28" ht="14.25" customHeight="1" x14ac:dyDescent="0.2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</row>
    <row r="194" spans="1:28" ht="14.25" customHeight="1" x14ac:dyDescent="0.2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</row>
    <row r="195" spans="1:28" ht="14.25" customHeight="1" x14ac:dyDescent="0.2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</row>
    <row r="196" spans="1:28" ht="14.25" customHeight="1" x14ac:dyDescent="0.2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</row>
    <row r="197" spans="1:28" ht="14.25" customHeight="1" x14ac:dyDescent="0.2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</row>
    <row r="198" spans="1:28" ht="14.25" customHeight="1" x14ac:dyDescent="0.2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</row>
    <row r="199" spans="1:28" ht="14.25" customHeight="1" x14ac:dyDescent="0.2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</row>
    <row r="200" spans="1:28" ht="14.25" customHeight="1" x14ac:dyDescent="0.2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</row>
    <row r="201" spans="1:28" ht="14.25" customHeight="1" x14ac:dyDescent="0.2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</row>
    <row r="202" spans="1:28" ht="14.25" customHeight="1" x14ac:dyDescent="0.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</row>
    <row r="203" spans="1:28" ht="14.25" customHeight="1" x14ac:dyDescent="0.2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</row>
    <row r="204" spans="1:28" ht="14.25" customHeight="1" x14ac:dyDescent="0.2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</row>
    <row r="205" spans="1:28" ht="14.25" customHeight="1" x14ac:dyDescent="0.2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</row>
    <row r="206" spans="1:28" ht="14.25" customHeight="1" x14ac:dyDescent="0.2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</row>
    <row r="207" spans="1:28" ht="14.25" customHeight="1" x14ac:dyDescent="0.2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</row>
    <row r="208" spans="1:28" ht="14.25" customHeight="1" x14ac:dyDescent="0.2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</row>
    <row r="209" spans="1:28" ht="14.25" customHeight="1" x14ac:dyDescent="0.2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</row>
    <row r="210" spans="1:28" ht="14.25" customHeight="1" x14ac:dyDescent="0.2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</row>
    <row r="211" spans="1:28" ht="14.25" customHeight="1" x14ac:dyDescent="0.2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</row>
    <row r="212" spans="1:28" ht="14.25" customHeight="1" x14ac:dyDescent="0.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</row>
    <row r="213" spans="1:28" ht="14.25" customHeight="1" x14ac:dyDescent="0.2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</row>
    <row r="214" spans="1:28" ht="14.25" customHeight="1" x14ac:dyDescent="0.2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</row>
    <row r="215" spans="1:28" ht="14.25" customHeight="1" x14ac:dyDescent="0.2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</row>
    <row r="216" spans="1:28" ht="14.25" customHeight="1" x14ac:dyDescent="0.2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</row>
    <row r="217" spans="1:28" ht="14.25" customHeight="1" x14ac:dyDescent="0.2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</row>
    <row r="218" spans="1:28" ht="14.25" customHeight="1" x14ac:dyDescent="0.2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</row>
    <row r="219" spans="1:28" ht="14.25" customHeight="1" x14ac:dyDescent="0.2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</row>
    <row r="220" spans="1:28" ht="14.25" customHeight="1" x14ac:dyDescent="0.2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</row>
    <row r="221" spans="1:28" ht="14.25" customHeight="1" x14ac:dyDescent="0.2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</row>
    <row r="222" spans="1:28" ht="14.25" customHeight="1" x14ac:dyDescent="0.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</row>
    <row r="223" spans="1:28" ht="14.25" customHeight="1" x14ac:dyDescent="0.2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</row>
    <row r="224" spans="1:28" ht="14.25" customHeight="1" x14ac:dyDescent="0.2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</row>
    <row r="225" spans="1:28" ht="14.25" customHeight="1" x14ac:dyDescent="0.2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</row>
    <row r="226" spans="1:28" ht="14.25" customHeight="1" x14ac:dyDescent="0.2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</row>
    <row r="227" spans="1:28" ht="14.25" customHeight="1" x14ac:dyDescent="0.2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</row>
    <row r="228" spans="1:28" ht="14.25" customHeight="1" x14ac:dyDescent="0.2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</row>
    <row r="229" spans="1:28" ht="14.25" customHeight="1" x14ac:dyDescent="0.2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</row>
    <row r="230" spans="1:28" ht="14.25" customHeight="1" x14ac:dyDescent="0.2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</row>
    <row r="231" spans="1:28" ht="14.25" customHeight="1" x14ac:dyDescent="0.2"/>
    <row r="232" spans="1:28" ht="14.25" customHeight="1" x14ac:dyDescent="0.2"/>
    <row r="233" spans="1:28" ht="14.25" customHeight="1" x14ac:dyDescent="0.2"/>
    <row r="234" spans="1:28" ht="14.25" customHeight="1" x14ac:dyDescent="0.2"/>
    <row r="235" spans="1:28" ht="14.25" customHeight="1" x14ac:dyDescent="0.2"/>
    <row r="236" spans="1:28" ht="14.25" customHeight="1" x14ac:dyDescent="0.2"/>
    <row r="237" spans="1:28" ht="14.25" customHeight="1" x14ac:dyDescent="0.2"/>
    <row r="238" spans="1:28" ht="14.25" customHeight="1" x14ac:dyDescent="0.2"/>
    <row r="239" spans="1:28" ht="14.25" customHeight="1" x14ac:dyDescent="0.2"/>
    <row r="240" spans="1:28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26">
    <mergeCell ref="P7:Q7"/>
    <mergeCell ref="R7:S7"/>
    <mergeCell ref="T7:U7"/>
    <mergeCell ref="V7:W7"/>
    <mergeCell ref="A7:B7"/>
    <mergeCell ref="C7:D7"/>
    <mergeCell ref="E7:F7"/>
    <mergeCell ref="G7:H7"/>
    <mergeCell ref="I7:J7"/>
    <mergeCell ref="L7:M7"/>
    <mergeCell ref="N7:O7"/>
    <mergeCell ref="A30:B30"/>
    <mergeCell ref="C30:F30"/>
    <mergeCell ref="G30:J30"/>
    <mergeCell ref="A26:B26"/>
    <mergeCell ref="C26:F26"/>
    <mergeCell ref="G26:J26"/>
    <mergeCell ref="A27:B27"/>
    <mergeCell ref="C27:F27"/>
    <mergeCell ref="G27:J27"/>
    <mergeCell ref="A28:B28"/>
    <mergeCell ref="C28:F28"/>
    <mergeCell ref="G28:J28"/>
    <mergeCell ref="A29:B29"/>
    <mergeCell ref="C29:F29"/>
    <mergeCell ref="G29:J29"/>
  </mergeCells>
  <pageMargins left="0.7" right="0.7" top="1.9312499999999999" bottom="1.9312499999999999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E1000"/>
  <sheetViews>
    <sheetView workbookViewId="0">
      <pane xSplit="2" ySplit="6" topLeftCell="AH7" activePane="bottomRight" state="frozen"/>
      <selection pane="topRight" activeCell="C1" sqref="C1"/>
      <selection pane="bottomLeft" activeCell="A7" sqref="A7"/>
      <selection pane="bottomRight" activeCell="A9" sqref="A9:B24"/>
    </sheetView>
  </sheetViews>
  <sheetFormatPr defaultColWidth="12.625" defaultRowHeight="15" customHeight="1" x14ac:dyDescent="0.2"/>
  <cols>
    <col min="1" max="1" width="10.875" customWidth="1"/>
    <col min="2" max="2" width="6.625" customWidth="1"/>
    <col min="3" max="3" width="8.625" customWidth="1"/>
    <col min="4" max="4" width="10.125" customWidth="1"/>
    <col min="5" max="6" width="14.75" customWidth="1"/>
    <col min="7" max="7" width="10" customWidth="1"/>
    <col min="8" max="8" width="9.5" customWidth="1"/>
    <col min="9" max="10" width="15.375" customWidth="1"/>
    <col min="11" max="11" width="11.625" customWidth="1"/>
    <col min="12" max="12" width="12.5" customWidth="1"/>
    <col min="13" max="14" width="14.875" customWidth="1"/>
    <col min="15" max="15" width="14.125" customWidth="1"/>
    <col min="16" max="16" width="11.875" customWidth="1"/>
    <col min="17" max="18" width="14.625" customWidth="1"/>
    <col min="19" max="20" width="10.25" customWidth="1"/>
    <col min="21" max="22" width="14.375" customWidth="1"/>
    <col min="23" max="23" width="8.375" customWidth="1"/>
    <col min="24" max="24" width="10.25" customWidth="1"/>
    <col min="25" max="26" width="15.25" customWidth="1"/>
    <col min="27" max="27" width="8.375" customWidth="1"/>
    <col min="28" max="28" width="11.75" customWidth="1"/>
    <col min="29" max="30" width="15.5" customWidth="1"/>
    <col min="31" max="31" width="9.625" customWidth="1"/>
    <col min="32" max="32" width="9.75" customWidth="1"/>
    <col min="33" max="34" width="16" customWidth="1"/>
    <col min="35" max="35" width="8.375" customWidth="1"/>
    <col min="36" max="36" width="10" customWidth="1"/>
    <col min="37" max="38" width="14.875" customWidth="1"/>
    <col min="39" max="39" width="15.125" customWidth="1"/>
    <col min="40" max="41" width="8.375" customWidth="1"/>
    <col min="42" max="57" width="13.875" customWidth="1"/>
  </cols>
  <sheetData>
    <row r="1" spans="1:57" ht="14.25" customHeight="1" x14ac:dyDescent="0.25">
      <c r="A1" s="1" t="s">
        <v>2</v>
      </c>
      <c r="B1" s="2"/>
      <c r="C1" s="3" t="s">
        <v>3</v>
      </c>
      <c r="D1" s="5"/>
      <c r="E1" s="5"/>
      <c r="F1" s="5"/>
      <c r="G1" s="5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</row>
    <row r="2" spans="1:57" ht="14.25" customHeight="1" x14ac:dyDescent="0.25">
      <c r="A2" s="7" t="s">
        <v>7</v>
      </c>
      <c r="B2" s="2"/>
      <c r="C2" s="3" t="s">
        <v>8</v>
      </c>
      <c r="D2" s="8"/>
      <c r="E2" s="8"/>
      <c r="F2" s="8"/>
      <c r="G2" s="8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</row>
    <row r="3" spans="1:57" ht="14.25" customHeight="1" x14ac:dyDescent="0.25">
      <c r="A3" s="7" t="s">
        <v>10</v>
      </c>
      <c r="B3" s="2"/>
      <c r="C3" s="10" t="s">
        <v>15</v>
      </c>
      <c r="D3" s="8"/>
      <c r="E3" s="8"/>
      <c r="F3" s="8"/>
      <c r="G3" s="8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</row>
    <row r="4" spans="1:57" ht="14.25" customHeight="1" x14ac:dyDescent="0.25">
      <c r="A4" s="7" t="s">
        <v>14</v>
      </c>
      <c r="B4" s="2"/>
      <c r="C4" s="16" t="str">
        <f>CLEAN('SUMMARY_-_GCM'!D5)</f>
        <v>October 1-15, 2026</v>
      </c>
      <c r="D4" s="8"/>
      <c r="E4" s="8"/>
      <c r="F4" s="8"/>
      <c r="G4" s="8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</row>
    <row r="5" spans="1:57" ht="14.25" customHeight="1" x14ac:dyDescent="0.25">
      <c r="A5" s="2"/>
      <c r="B5" s="2"/>
      <c r="C5" s="2"/>
      <c r="D5" s="2"/>
      <c r="E5" s="2"/>
      <c r="F5" s="2"/>
      <c r="G5" s="2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</row>
    <row r="6" spans="1:57" ht="14.25" customHeight="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</row>
    <row r="7" spans="1:57" ht="15" customHeight="1" x14ac:dyDescent="0.2">
      <c r="A7" s="176" t="s">
        <v>25</v>
      </c>
      <c r="B7" s="123"/>
      <c r="C7" s="176" t="s">
        <v>42</v>
      </c>
      <c r="D7" s="123"/>
      <c r="E7" s="127" t="s">
        <v>29</v>
      </c>
      <c r="F7" s="128"/>
      <c r="G7" s="176" t="s">
        <v>89</v>
      </c>
      <c r="H7" s="123"/>
      <c r="I7" s="127" t="s">
        <v>29</v>
      </c>
      <c r="J7" s="128"/>
      <c r="K7" s="176" t="s">
        <v>46</v>
      </c>
      <c r="L7" s="123"/>
      <c r="M7" s="127" t="s">
        <v>29</v>
      </c>
      <c r="N7" s="128"/>
      <c r="O7" s="176" t="s">
        <v>49</v>
      </c>
      <c r="P7" s="123"/>
      <c r="Q7" s="127" t="s">
        <v>29</v>
      </c>
      <c r="R7" s="128"/>
      <c r="S7" s="176" t="s">
        <v>51</v>
      </c>
      <c r="T7" s="123"/>
      <c r="U7" s="127" t="s">
        <v>29</v>
      </c>
      <c r="V7" s="128"/>
      <c r="W7" s="177" t="s">
        <v>54</v>
      </c>
      <c r="X7" s="123"/>
      <c r="Y7" s="127" t="s">
        <v>29</v>
      </c>
      <c r="Z7" s="128"/>
      <c r="AA7" s="176" t="s">
        <v>56</v>
      </c>
      <c r="AB7" s="123"/>
      <c r="AC7" s="127" t="s">
        <v>29</v>
      </c>
      <c r="AD7" s="128"/>
      <c r="AE7" s="176" t="s">
        <v>57</v>
      </c>
      <c r="AF7" s="123"/>
      <c r="AG7" s="127" t="s">
        <v>29</v>
      </c>
      <c r="AH7" s="128"/>
      <c r="AI7" s="176" t="s">
        <v>58</v>
      </c>
      <c r="AJ7" s="123"/>
      <c r="AK7" s="127" t="s">
        <v>29</v>
      </c>
      <c r="AL7" s="128"/>
      <c r="AM7" s="176" t="s">
        <v>168</v>
      </c>
      <c r="AN7" s="123"/>
      <c r="AO7" s="127" t="s">
        <v>29</v>
      </c>
      <c r="AP7" s="128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5.75" customHeight="1" x14ac:dyDescent="0.25">
      <c r="A8" s="32" t="str">
        <f>CLEAN(BUUG!A8)</f>
        <v>#</v>
      </c>
      <c r="B8" s="32" t="s">
        <v>34</v>
      </c>
      <c r="C8" s="34" t="s">
        <v>35</v>
      </c>
      <c r="D8" s="34" t="s">
        <v>36</v>
      </c>
      <c r="E8" s="22" t="s">
        <v>35</v>
      </c>
      <c r="F8" s="22" t="s">
        <v>36</v>
      </c>
      <c r="G8" s="34" t="s">
        <v>35</v>
      </c>
      <c r="H8" s="34" t="s">
        <v>36</v>
      </c>
      <c r="I8" s="22" t="s">
        <v>35</v>
      </c>
      <c r="J8" s="22" t="s">
        <v>36</v>
      </c>
      <c r="K8" s="34" t="s">
        <v>35</v>
      </c>
      <c r="L8" s="34" t="s">
        <v>36</v>
      </c>
      <c r="M8" s="22" t="s">
        <v>35</v>
      </c>
      <c r="N8" s="22" t="s">
        <v>36</v>
      </c>
      <c r="O8" s="34" t="s">
        <v>35</v>
      </c>
      <c r="P8" s="34" t="s">
        <v>36</v>
      </c>
      <c r="Q8" s="22" t="s">
        <v>35</v>
      </c>
      <c r="R8" s="22" t="s">
        <v>36</v>
      </c>
      <c r="S8" s="34" t="s">
        <v>35</v>
      </c>
      <c r="T8" s="34" t="s">
        <v>36</v>
      </c>
      <c r="U8" s="22" t="s">
        <v>35</v>
      </c>
      <c r="V8" s="22" t="s">
        <v>36</v>
      </c>
      <c r="W8" s="34" t="s">
        <v>35</v>
      </c>
      <c r="X8" s="34" t="s">
        <v>36</v>
      </c>
      <c r="Y8" s="22" t="s">
        <v>35</v>
      </c>
      <c r="Z8" s="22" t="s">
        <v>36</v>
      </c>
      <c r="AA8" s="34" t="s">
        <v>35</v>
      </c>
      <c r="AB8" s="34" t="s">
        <v>36</v>
      </c>
      <c r="AC8" s="22" t="s">
        <v>35</v>
      </c>
      <c r="AD8" s="22" t="s">
        <v>36</v>
      </c>
      <c r="AE8" s="34" t="s">
        <v>35</v>
      </c>
      <c r="AF8" s="34" t="s">
        <v>36</v>
      </c>
      <c r="AG8" s="22" t="s">
        <v>35</v>
      </c>
      <c r="AH8" s="22" t="s">
        <v>36</v>
      </c>
      <c r="AI8" s="36" t="s">
        <v>35</v>
      </c>
      <c r="AJ8" s="36" t="s">
        <v>36</v>
      </c>
      <c r="AK8" s="22" t="s">
        <v>35</v>
      </c>
      <c r="AL8" s="22" t="s">
        <v>36</v>
      </c>
      <c r="AM8" s="36" t="s">
        <v>35</v>
      </c>
      <c r="AN8" s="36" t="s">
        <v>36</v>
      </c>
      <c r="AO8" s="22" t="s">
        <v>35</v>
      </c>
      <c r="AP8" s="22" t="s">
        <v>36</v>
      </c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5" customHeight="1" x14ac:dyDescent="0.2">
      <c r="A9" s="96"/>
      <c r="B9" s="96"/>
      <c r="C9" s="90"/>
      <c r="D9" s="90"/>
      <c r="E9" s="97"/>
      <c r="F9" s="97"/>
      <c r="G9" s="90"/>
      <c r="H9" s="90"/>
      <c r="I9" s="97"/>
      <c r="J9" s="97"/>
      <c r="K9" s="90"/>
      <c r="L9" s="90"/>
      <c r="M9" s="97"/>
      <c r="N9" s="97"/>
      <c r="O9" s="90"/>
      <c r="P9" s="90"/>
      <c r="Q9" s="97"/>
      <c r="R9" s="97"/>
      <c r="S9" s="90"/>
      <c r="T9" s="90"/>
      <c r="U9" s="97"/>
      <c r="V9" s="97"/>
      <c r="W9" s="90"/>
      <c r="X9" s="90"/>
      <c r="Y9" s="97"/>
      <c r="Z9" s="97"/>
      <c r="AA9" s="90"/>
      <c r="AB9" s="90"/>
      <c r="AC9" s="97"/>
      <c r="AD9" s="97"/>
      <c r="AE9" s="90"/>
      <c r="AF9" s="90"/>
      <c r="AG9" s="97"/>
      <c r="AH9" s="97"/>
      <c r="AI9" s="90"/>
      <c r="AJ9" s="90"/>
      <c r="AK9" s="97"/>
      <c r="AL9" s="97"/>
      <c r="AM9" s="90"/>
      <c r="AN9" s="90"/>
      <c r="AO9" s="97"/>
      <c r="AP9" s="97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5" customHeight="1" x14ac:dyDescent="0.2">
      <c r="A10" s="96"/>
      <c r="B10" s="96"/>
      <c r="C10" s="96"/>
      <c r="D10" s="92"/>
      <c r="E10" s="97"/>
      <c r="F10" s="97"/>
      <c r="G10" s="96"/>
      <c r="H10" s="96"/>
      <c r="I10" s="97"/>
      <c r="J10" s="97"/>
      <c r="K10" s="102"/>
      <c r="L10" s="96"/>
      <c r="M10" s="97"/>
      <c r="N10" s="97"/>
      <c r="O10" s="92"/>
      <c r="P10" s="92"/>
      <c r="Q10" s="97"/>
      <c r="R10" s="97"/>
      <c r="S10" s="90"/>
      <c r="T10" s="90"/>
      <c r="U10" s="97"/>
      <c r="V10" s="97"/>
      <c r="W10" s="96"/>
      <c r="X10" s="96"/>
      <c r="Y10" s="97"/>
      <c r="Z10" s="97"/>
      <c r="AA10" s="96"/>
      <c r="AB10" s="92"/>
      <c r="AC10" s="97"/>
      <c r="AD10" s="97"/>
      <c r="AE10" s="96"/>
      <c r="AF10" s="92"/>
      <c r="AG10" s="97"/>
      <c r="AH10" s="97"/>
      <c r="AI10" s="102"/>
      <c r="AJ10" s="92"/>
      <c r="AK10" s="97"/>
      <c r="AL10" s="97"/>
      <c r="AM10" s="102"/>
      <c r="AN10" s="92"/>
      <c r="AO10" s="97"/>
      <c r="AP10" s="97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5" customHeight="1" x14ac:dyDescent="0.2">
      <c r="A11" s="96"/>
      <c r="B11" s="96"/>
      <c r="C11" s="96"/>
      <c r="D11" s="92"/>
      <c r="E11" s="97"/>
      <c r="F11" s="97"/>
      <c r="G11" s="96"/>
      <c r="H11" s="92"/>
      <c r="I11" s="97"/>
      <c r="J11" s="97"/>
      <c r="K11" s="92"/>
      <c r="L11" s="96"/>
      <c r="M11" s="97"/>
      <c r="N11" s="97"/>
      <c r="O11" s="90"/>
      <c r="P11" s="90"/>
      <c r="Q11" s="97"/>
      <c r="R11" s="97"/>
      <c r="S11" s="92"/>
      <c r="T11" s="92"/>
      <c r="U11" s="97"/>
      <c r="V11" s="97"/>
      <c r="W11" s="96"/>
      <c r="X11" s="92"/>
      <c r="Y11" s="97"/>
      <c r="Z11" s="97"/>
      <c r="AA11" s="96"/>
      <c r="AB11" s="92"/>
      <c r="AC11" s="97"/>
      <c r="AD11" s="97"/>
      <c r="AE11" s="92"/>
      <c r="AF11" s="92"/>
      <c r="AG11" s="97"/>
      <c r="AH11" s="97"/>
      <c r="AI11" s="92"/>
      <c r="AJ11" s="92"/>
      <c r="AK11" s="97"/>
      <c r="AL11" s="97"/>
      <c r="AM11" s="92"/>
      <c r="AN11" s="92"/>
      <c r="AO11" s="97"/>
      <c r="AP11" s="97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5" customHeight="1" x14ac:dyDescent="0.2">
      <c r="A12" s="96"/>
      <c r="B12" s="96"/>
      <c r="C12" s="92"/>
      <c r="D12" s="92"/>
      <c r="E12" s="97"/>
      <c r="F12" s="97"/>
      <c r="G12" s="92"/>
      <c r="H12" s="92"/>
      <c r="I12" s="97"/>
      <c r="J12" s="97"/>
      <c r="K12" s="92"/>
      <c r="L12" s="92"/>
      <c r="M12" s="97"/>
      <c r="N12" s="97"/>
      <c r="O12" s="92"/>
      <c r="P12" s="92"/>
      <c r="Q12" s="97"/>
      <c r="R12" s="97"/>
      <c r="S12" s="92"/>
      <c r="T12" s="92"/>
      <c r="U12" s="97"/>
      <c r="V12" s="97"/>
      <c r="W12" s="90"/>
      <c r="X12" s="90"/>
      <c r="Y12" s="97"/>
      <c r="Z12" s="97"/>
      <c r="AA12" s="92"/>
      <c r="AB12" s="92"/>
      <c r="AC12" s="97"/>
      <c r="AD12" s="97"/>
      <c r="AE12" s="96"/>
      <c r="AF12" s="92"/>
      <c r="AG12" s="97"/>
      <c r="AH12" s="97"/>
      <c r="AI12" s="92"/>
      <c r="AJ12" s="92"/>
      <c r="AK12" s="97"/>
      <c r="AL12" s="97"/>
      <c r="AM12" s="92"/>
      <c r="AN12" s="92"/>
      <c r="AO12" s="97"/>
      <c r="AP12" s="97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5" customHeight="1" x14ac:dyDescent="0.2">
      <c r="A13" s="96"/>
      <c r="B13" s="96"/>
      <c r="C13" s="96"/>
      <c r="D13" s="96"/>
      <c r="E13" s="97"/>
      <c r="F13" s="97"/>
      <c r="G13" s="96"/>
      <c r="H13" s="96"/>
      <c r="I13" s="97"/>
      <c r="J13" s="97"/>
      <c r="K13" s="92"/>
      <c r="L13" s="92"/>
      <c r="M13" s="97"/>
      <c r="N13" s="97"/>
      <c r="O13" s="92"/>
      <c r="P13" s="92"/>
      <c r="Q13" s="97"/>
      <c r="R13" s="97"/>
      <c r="S13" s="92"/>
      <c r="T13" s="92"/>
      <c r="U13" s="97"/>
      <c r="V13" s="97"/>
      <c r="W13" s="96"/>
      <c r="X13" s="92"/>
      <c r="Y13" s="97"/>
      <c r="Z13" s="97"/>
      <c r="AA13" s="96"/>
      <c r="AB13" s="92"/>
      <c r="AC13" s="97"/>
      <c r="AD13" s="97"/>
      <c r="AE13" s="96"/>
      <c r="AF13" s="96"/>
      <c r="AG13" s="97"/>
      <c r="AH13" s="97"/>
      <c r="AI13" s="90"/>
      <c r="AJ13" s="90"/>
      <c r="AK13" s="97"/>
      <c r="AL13" s="97"/>
      <c r="AM13" s="90"/>
      <c r="AN13" s="90"/>
      <c r="AO13" s="97"/>
      <c r="AP13" s="97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5" customHeight="1" x14ac:dyDescent="0.2">
      <c r="A14" s="96"/>
      <c r="B14" s="96"/>
      <c r="C14" s="96"/>
      <c r="D14" s="92"/>
      <c r="E14" s="97"/>
      <c r="F14" s="97"/>
      <c r="G14" s="96"/>
      <c r="H14" s="96"/>
      <c r="I14" s="97"/>
      <c r="J14" s="97"/>
      <c r="K14" s="90"/>
      <c r="L14" s="90"/>
      <c r="M14" s="97"/>
      <c r="N14" s="97"/>
      <c r="O14" s="92"/>
      <c r="P14" s="92"/>
      <c r="Q14" s="97"/>
      <c r="R14" s="97"/>
      <c r="S14" s="92"/>
      <c r="T14" s="92"/>
      <c r="U14" s="97"/>
      <c r="V14" s="97"/>
      <c r="W14" s="92"/>
      <c r="X14" s="92"/>
      <c r="Y14" s="97"/>
      <c r="Z14" s="97"/>
      <c r="AA14" s="96"/>
      <c r="AB14" s="92"/>
      <c r="AC14" s="97"/>
      <c r="AD14" s="97"/>
      <c r="AE14" s="96"/>
      <c r="AF14" s="92"/>
      <c r="AG14" s="97"/>
      <c r="AH14" s="97"/>
      <c r="AI14" s="96"/>
      <c r="AJ14" s="92"/>
      <c r="AK14" s="97"/>
      <c r="AL14" s="97"/>
      <c r="AM14" s="96"/>
      <c r="AN14" s="92"/>
      <c r="AO14" s="97"/>
      <c r="AP14" s="97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5" customHeight="1" x14ac:dyDescent="0.2">
      <c r="A15" s="96"/>
      <c r="B15" s="96"/>
      <c r="C15" s="103"/>
      <c r="D15" s="92"/>
      <c r="E15" s="97"/>
      <c r="F15" s="97"/>
      <c r="G15" s="96"/>
      <c r="H15" s="96"/>
      <c r="I15" s="97"/>
      <c r="J15" s="97"/>
      <c r="K15" s="92"/>
      <c r="L15" s="92"/>
      <c r="M15" s="97"/>
      <c r="N15" s="97"/>
      <c r="O15" s="96"/>
      <c r="P15" s="92"/>
      <c r="Q15" s="97"/>
      <c r="R15" s="97"/>
      <c r="S15" s="92"/>
      <c r="T15" s="92"/>
      <c r="U15" s="97"/>
      <c r="V15" s="97"/>
      <c r="W15" s="92"/>
      <c r="X15" s="92"/>
      <c r="Y15" s="97"/>
      <c r="Z15" s="97"/>
      <c r="AA15" s="90"/>
      <c r="AB15" s="90"/>
      <c r="AC15" s="97"/>
      <c r="AD15" s="97"/>
      <c r="AE15" s="103"/>
      <c r="AF15" s="92"/>
      <c r="AG15" s="97"/>
      <c r="AH15" s="97"/>
      <c r="AI15" s="92"/>
      <c r="AJ15" s="92"/>
      <c r="AK15" s="97"/>
      <c r="AL15" s="97"/>
      <c r="AM15" s="92"/>
      <c r="AN15" s="92"/>
      <c r="AO15" s="97"/>
      <c r="AP15" s="97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5" customHeight="1" x14ac:dyDescent="0.2">
      <c r="A16" s="96"/>
      <c r="B16" s="96"/>
      <c r="C16" s="90"/>
      <c r="D16" s="90"/>
      <c r="E16" s="97"/>
      <c r="F16" s="97"/>
      <c r="G16" s="96"/>
      <c r="H16" s="96"/>
      <c r="I16" s="97"/>
      <c r="J16" s="97"/>
      <c r="K16" s="92"/>
      <c r="L16" s="92"/>
      <c r="M16" s="97"/>
      <c r="N16" s="97"/>
      <c r="O16" s="92"/>
      <c r="P16" s="92"/>
      <c r="Q16" s="97"/>
      <c r="R16" s="97"/>
      <c r="S16" s="96"/>
      <c r="T16" s="96"/>
      <c r="U16" s="97"/>
      <c r="V16" s="97"/>
      <c r="W16" s="96"/>
      <c r="X16" s="92"/>
      <c r="Y16" s="97"/>
      <c r="Z16" s="97"/>
      <c r="AA16" s="96"/>
      <c r="AB16" s="92"/>
      <c r="AC16" s="97"/>
      <c r="AD16" s="97"/>
      <c r="AE16" s="90"/>
      <c r="AF16" s="90"/>
      <c r="AG16" s="97"/>
      <c r="AH16" s="97"/>
      <c r="AI16" s="92"/>
      <c r="AJ16" s="92"/>
      <c r="AK16" s="97"/>
      <c r="AL16" s="97"/>
      <c r="AM16" s="92"/>
      <c r="AN16" s="92"/>
      <c r="AO16" s="97"/>
      <c r="AP16" s="97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</row>
    <row r="17" spans="1:57" ht="15" customHeight="1" x14ac:dyDescent="0.2">
      <c r="A17" s="96"/>
      <c r="B17" s="96"/>
      <c r="C17" s="103"/>
      <c r="D17" s="92"/>
      <c r="E17" s="97"/>
      <c r="F17" s="97"/>
      <c r="G17" s="96"/>
      <c r="H17" s="96"/>
      <c r="I17" s="97"/>
      <c r="J17" s="97"/>
      <c r="K17" s="92"/>
      <c r="L17" s="92"/>
      <c r="M17" s="97"/>
      <c r="N17" s="97"/>
      <c r="O17" s="92"/>
      <c r="P17" s="92"/>
      <c r="Q17" s="97"/>
      <c r="R17" s="97"/>
      <c r="S17" s="90"/>
      <c r="T17" s="90"/>
      <c r="U17" s="97"/>
      <c r="V17" s="97"/>
      <c r="W17" s="96"/>
      <c r="X17" s="96"/>
      <c r="Y17" s="97"/>
      <c r="Z17" s="97"/>
      <c r="AA17" s="103"/>
      <c r="AB17" s="92"/>
      <c r="AC17" s="97"/>
      <c r="AD17" s="97"/>
      <c r="AE17" s="90"/>
      <c r="AF17" s="90"/>
      <c r="AG17" s="97"/>
      <c r="AH17" s="97"/>
      <c r="AI17" s="92"/>
      <c r="AJ17" s="92"/>
      <c r="AK17" s="97"/>
      <c r="AL17" s="97"/>
      <c r="AM17" s="92"/>
      <c r="AN17" s="92"/>
      <c r="AO17" s="97"/>
      <c r="AP17" s="97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5" customHeight="1" x14ac:dyDescent="0.2">
      <c r="A18" s="96"/>
      <c r="B18" s="96"/>
      <c r="C18" s="103"/>
      <c r="D18" s="92"/>
      <c r="E18" s="97"/>
      <c r="F18" s="97"/>
      <c r="G18" s="103"/>
      <c r="H18" s="92"/>
      <c r="I18" s="97"/>
      <c r="J18" s="97"/>
      <c r="K18" s="96"/>
      <c r="L18" s="96"/>
      <c r="M18" s="97"/>
      <c r="N18" s="97"/>
      <c r="O18" s="90"/>
      <c r="P18" s="90"/>
      <c r="Q18" s="97"/>
      <c r="R18" s="97"/>
      <c r="S18" s="92"/>
      <c r="T18" s="92"/>
      <c r="U18" s="97"/>
      <c r="V18" s="97"/>
      <c r="W18" s="103"/>
      <c r="X18" s="92"/>
      <c r="Y18" s="97"/>
      <c r="Z18" s="97"/>
      <c r="AA18" s="103"/>
      <c r="AB18" s="92"/>
      <c r="AC18" s="97"/>
      <c r="AD18" s="97"/>
      <c r="AE18" s="103"/>
      <c r="AF18" s="92"/>
      <c r="AG18" s="97"/>
      <c r="AH18" s="97"/>
      <c r="AI18" s="92"/>
      <c r="AJ18" s="92"/>
      <c r="AK18" s="97"/>
      <c r="AL18" s="97"/>
      <c r="AM18" s="92"/>
      <c r="AN18" s="92"/>
      <c r="AO18" s="97"/>
      <c r="AP18" s="97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5" customHeight="1" x14ac:dyDescent="0.2">
      <c r="A19" s="96"/>
      <c r="B19" s="96"/>
      <c r="C19" s="103"/>
      <c r="D19" s="92"/>
      <c r="E19" s="97"/>
      <c r="F19" s="97"/>
      <c r="G19" s="103"/>
      <c r="H19" s="92"/>
      <c r="I19" s="97"/>
      <c r="J19" s="97"/>
      <c r="K19" s="92"/>
      <c r="L19" s="92"/>
      <c r="M19" s="97"/>
      <c r="N19" s="97"/>
      <c r="O19" s="92"/>
      <c r="P19" s="92"/>
      <c r="Q19" s="97"/>
      <c r="R19" s="97"/>
      <c r="S19" s="92"/>
      <c r="T19" s="92"/>
      <c r="U19" s="97"/>
      <c r="V19" s="97"/>
      <c r="W19" s="90"/>
      <c r="X19" s="90"/>
      <c r="Y19" s="97"/>
      <c r="Z19" s="97"/>
      <c r="AA19" s="96"/>
      <c r="AB19" s="96"/>
      <c r="AC19" s="97"/>
      <c r="AD19" s="97"/>
      <c r="AE19" s="103"/>
      <c r="AF19" s="92"/>
      <c r="AG19" s="97"/>
      <c r="AH19" s="97"/>
      <c r="AI19" s="92"/>
      <c r="AJ19" s="92"/>
      <c r="AK19" s="97"/>
      <c r="AL19" s="97"/>
      <c r="AM19" s="92"/>
      <c r="AN19" s="92"/>
      <c r="AO19" s="97"/>
      <c r="AP19" s="97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5" customHeight="1" x14ac:dyDescent="0.2">
      <c r="A20" s="96"/>
      <c r="B20" s="96"/>
      <c r="C20" s="96"/>
      <c r="D20" s="96"/>
      <c r="E20" s="97"/>
      <c r="F20" s="97"/>
      <c r="G20" s="96"/>
      <c r="H20" s="96"/>
      <c r="I20" s="97"/>
      <c r="J20" s="97"/>
      <c r="K20" s="92"/>
      <c r="L20" s="92"/>
      <c r="M20" s="97"/>
      <c r="N20" s="97"/>
      <c r="O20" s="92"/>
      <c r="P20" s="92"/>
      <c r="Q20" s="97"/>
      <c r="R20" s="97"/>
      <c r="S20" s="92"/>
      <c r="T20" s="92"/>
      <c r="U20" s="97"/>
      <c r="V20" s="97"/>
      <c r="W20" s="103"/>
      <c r="X20" s="92"/>
      <c r="Y20" s="97"/>
      <c r="Z20" s="97"/>
      <c r="AA20" s="103"/>
      <c r="AB20" s="92"/>
      <c r="AC20" s="97"/>
      <c r="AD20" s="97"/>
      <c r="AE20" s="96"/>
      <c r="AF20" s="96"/>
      <c r="AG20" s="97"/>
      <c r="AH20" s="97"/>
      <c r="AI20" s="90"/>
      <c r="AJ20" s="90"/>
      <c r="AK20" s="97"/>
      <c r="AL20" s="97"/>
      <c r="AM20" s="90"/>
      <c r="AN20" s="90"/>
      <c r="AO20" s="97"/>
      <c r="AP20" s="97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5.75" customHeight="1" x14ac:dyDescent="0.2">
      <c r="A21" s="96"/>
      <c r="B21" s="96"/>
      <c r="C21" s="103"/>
      <c r="D21" s="92"/>
      <c r="E21" s="97"/>
      <c r="F21" s="97"/>
      <c r="G21" s="103"/>
      <c r="H21" s="92"/>
      <c r="I21" s="97"/>
      <c r="J21" s="97"/>
      <c r="K21" s="90"/>
      <c r="L21" s="90"/>
      <c r="M21" s="97"/>
      <c r="N21" s="97"/>
      <c r="O21" s="92"/>
      <c r="P21" s="92"/>
      <c r="Q21" s="97"/>
      <c r="R21" s="97"/>
      <c r="S21" s="92"/>
      <c r="T21" s="92"/>
      <c r="U21" s="97"/>
      <c r="V21" s="97"/>
      <c r="W21" s="103"/>
      <c r="X21" s="92"/>
      <c r="Y21" s="97"/>
      <c r="Z21" s="97"/>
      <c r="AA21" s="103"/>
      <c r="AB21" s="92"/>
      <c r="AC21" s="97"/>
      <c r="AD21" s="97"/>
      <c r="AE21" s="103"/>
      <c r="AF21" s="92"/>
      <c r="AG21" s="97"/>
      <c r="AH21" s="97"/>
      <c r="AI21" s="92"/>
      <c r="AJ21" s="92"/>
      <c r="AK21" s="97"/>
      <c r="AL21" s="97"/>
      <c r="AM21" s="92"/>
      <c r="AN21" s="92"/>
      <c r="AO21" s="97"/>
      <c r="AP21" s="97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5.75" customHeight="1" x14ac:dyDescent="0.2">
      <c r="A22" s="96"/>
      <c r="B22" s="96"/>
      <c r="C22" s="103"/>
      <c r="D22" s="92"/>
      <c r="E22" s="97"/>
      <c r="F22" s="97"/>
      <c r="G22" s="103"/>
      <c r="H22" s="92"/>
      <c r="I22" s="97"/>
      <c r="J22" s="97"/>
      <c r="K22" s="92"/>
      <c r="L22" s="92"/>
      <c r="M22" s="97"/>
      <c r="N22" s="97"/>
      <c r="O22" s="96"/>
      <c r="P22" s="96"/>
      <c r="Q22" s="97"/>
      <c r="R22" s="97"/>
      <c r="S22" s="92"/>
      <c r="T22" s="92"/>
      <c r="U22" s="97"/>
      <c r="V22" s="97"/>
      <c r="W22" s="103"/>
      <c r="X22" s="92"/>
      <c r="Y22" s="97"/>
      <c r="Z22" s="97"/>
      <c r="AA22" s="103"/>
      <c r="AB22" s="92"/>
      <c r="AC22" s="97"/>
      <c r="AD22" s="97"/>
      <c r="AE22" s="90"/>
      <c r="AF22" s="90"/>
      <c r="AG22" s="97"/>
      <c r="AH22" s="97"/>
      <c r="AI22" s="96"/>
      <c r="AJ22" s="96"/>
      <c r="AK22" s="97"/>
      <c r="AL22" s="97"/>
      <c r="AM22" s="96"/>
      <c r="AN22" s="96"/>
      <c r="AO22" s="97"/>
      <c r="AP22" s="97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5.75" customHeight="1" x14ac:dyDescent="0.2">
      <c r="A23" s="96"/>
      <c r="B23" s="96"/>
      <c r="C23" s="103"/>
      <c r="D23" s="92"/>
      <c r="E23" s="97"/>
      <c r="F23" s="97"/>
      <c r="G23" s="103"/>
      <c r="H23" s="92"/>
      <c r="I23" s="97"/>
      <c r="J23" s="97"/>
      <c r="K23" s="92"/>
      <c r="L23" s="92"/>
      <c r="M23" s="97"/>
      <c r="N23" s="97"/>
      <c r="O23" s="92"/>
      <c r="P23" s="92"/>
      <c r="Q23" s="97"/>
      <c r="R23" s="97"/>
      <c r="S23" s="96"/>
      <c r="T23" s="96"/>
      <c r="U23" s="97"/>
      <c r="V23" s="97"/>
      <c r="W23" s="103"/>
      <c r="X23" s="92"/>
      <c r="Y23" s="97"/>
      <c r="Z23" s="97"/>
      <c r="AA23" s="90"/>
      <c r="AB23" s="90"/>
      <c r="AC23" s="97"/>
      <c r="AD23" s="97"/>
      <c r="AE23" s="90"/>
      <c r="AF23" s="90"/>
      <c r="AG23" s="97"/>
      <c r="AH23" s="97"/>
      <c r="AI23" s="92"/>
      <c r="AJ23" s="92"/>
      <c r="AK23" s="97"/>
      <c r="AL23" s="97"/>
      <c r="AM23" s="92"/>
      <c r="AN23" s="92"/>
      <c r="AO23" s="97"/>
      <c r="AP23" s="97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15.75" customHeight="1" x14ac:dyDescent="0.2">
      <c r="A24" s="96"/>
      <c r="B24" s="96"/>
      <c r="C24" s="104"/>
      <c r="D24" s="105"/>
      <c r="E24" s="97"/>
      <c r="F24" s="97"/>
      <c r="G24" s="104"/>
      <c r="H24" s="105"/>
      <c r="I24" s="97"/>
      <c r="J24" s="97"/>
      <c r="K24" s="105"/>
      <c r="L24" s="105"/>
      <c r="M24" s="97"/>
      <c r="N24" s="97"/>
      <c r="O24" s="105"/>
      <c r="P24" s="105"/>
      <c r="Q24" s="97"/>
      <c r="R24" s="97"/>
      <c r="S24" s="105"/>
      <c r="T24" s="105"/>
      <c r="U24" s="97"/>
      <c r="V24" s="97"/>
      <c r="W24" s="105"/>
      <c r="X24" s="105"/>
      <c r="Y24" s="97"/>
      <c r="Z24" s="97"/>
      <c r="AA24" s="106"/>
      <c r="AB24" s="105"/>
      <c r="AC24" s="97"/>
      <c r="AD24" s="97"/>
      <c r="AE24" s="104"/>
      <c r="AF24" s="104"/>
      <c r="AG24" s="97"/>
      <c r="AH24" s="97"/>
      <c r="AI24" s="104"/>
      <c r="AJ24" s="105"/>
      <c r="AK24" s="97"/>
      <c r="AL24" s="97"/>
      <c r="AM24" s="104"/>
      <c r="AN24" s="105"/>
      <c r="AO24" s="97"/>
      <c r="AP24" s="97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</row>
    <row r="25" spans="1:57" ht="15.75" customHeight="1" x14ac:dyDescent="0.25">
      <c r="A25" s="2"/>
      <c r="B25" s="41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"/>
      <c r="Q25" s="24"/>
      <c r="R25" s="24"/>
      <c r="S25" s="24"/>
      <c r="T25" s="42"/>
      <c r="U25" s="42"/>
      <c r="V25" s="42"/>
      <c r="W25" s="24"/>
      <c r="X25" s="24"/>
      <c r="Y25" s="24"/>
      <c r="Z25" s="24"/>
      <c r="AA25" s="24"/>
      <c r="AB25" s="24"/>
      <c r="AC25" s="24"/>
      <c r="AD25" s="24"/>
      <c r="AE25" s="24"/>
      <c r="AF25" s="2"/>
      <c r="AG25" s="24"/>
      <c r="AH25" s="24"/>
      <c r="AI25" s="24"/>
      <c r="AJ25" s="24"/>
      <c r="AK25" s="24"/>
      <c r="AL25" s="24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</row>
    <row r="26" spans="1:57" ht="14.25" customHeight="1" x14ac:dyDescent="0.2">
      <c r="A26" s="172" t="s">
        <v>70</v>
      </c>
      <c r="B26" s="123"/>
      <c r="C26" s="173">
        <f>COUNT(C9:C24)</f>
        <v>0</v>
      </c>
      <c r="D26" s="122"/>
      <c r="E26" s="122"/>
      <c r="F26" s="123"/>
      <c r="G26" s="173">
        <f>COUNT(G9:G24)</f>
        <v>0</v>
      </c>
      <c r="H26" s="122"/>
      <c r="I26" s="122"/>
      <c r="J26" s="123"/>
      <c r="K26" s="173">
        <f>COUNT(K9:K24)</f>
        <v>0</v>
      </c>
      <c r="L26" s="122"/>
      <c r="M26" s="122"/>
      <c r="N26" s="123"/>
      <c r="O26" s="173">
        <f>COUNT(O9:O24)</f>
        <v>0</v>
      </c>
      <c r="P26" s="122"/>
      <c r="Q26" s="122"/>
      <c r="R26" s="123"/>
      <c r="S26" s="173">
        <f>COUNT(S9:S24)</f>
        <v>0</v>
      </c>
      <c r="T26" s="122"/>
      <c r="U26" s="122"/>
      <c r="V26" s="123"/>
      <c r="W26" s="173">
        <f>COUNT(W9:W24)</f>
        <v>0</v>
      </c>
      <c r="X26" s="122"/>
      <c r="Y26" s="122"/>
      <c r="Z26" s="123"/>
      <c r="AA26" s="173">
        <f>COUNT(AA9:AA24)</f>
        <v>0</v>
      </c>
      <c r="AB26" s="122"/>
      <c r="AC26" s="122"/>
      <c r="AD26" s="123"/>
      <c r="AE26" s="173">
        <f>COUNT(AE9:AE24)</f>
        <v>0</v>
      </c>
      <c r="AF26" s="122"/>
      <c r="AG26" s="122"/>
      <c r="AH26" s="123"/>
      <c r="AI26" s="173">
        <f>COUNT(AI9:AI24)</f>
        <v>0</v>
      </c>
      <c r="AJ26" s="122"/>
      <c r="AK26" s="122"/>
      <c r="AL26" s="123"/>
      <c r="AM26" s="173">
        <f>COUNT(AM9:AM24)</f>
        <v>0</v>
      </c>
      <c r="AN26" s="122"/>
      <c r="AO26" s="122"/>
      <c r="AP26" s="123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</row>
    <row r="27" spans="1:57" ht="15.75" customHeight="1" x14ac:dyDescent="0.2">
      <c r="A27" s="172" t="s">
        <v>30</v>
      </c>
      <c r="B27" s="123"/>
      <c r="C27" s="171">
        <f>COUNTIF(C9:C23,"Absent")</f>
        <v>0</v>
      </c>
      <c r="D27" s="122"/>
      <c r="E27" s="122"/>
      <c r="F27" s="123"/>
      <c r="G27" s="171">
        <f>COUNTIF(G9:G23,"Absent")</f>
        <v>0</v>
      </c>
      <c r="H27" s="122"/>
      <c r="I27" s="122"/>
      <c r="J27" s="123"/>
      <c r="K27" s="171">
        <f>COUNTIF(K9:K23,"Absent")</f>
        <v>0</v>
      </c>
      <c r="L27" s="122"/>
      <c r="M27" s="122"/>
      <c r="N27" s="123"/>
      <c r="O27" s="171">
        <f>COUNTIF(O9:O23,"Absent")</f>
        <v>0</v>
      </c>
      <c r="P27" s="122"/>
      <c r="Q27" s="122"/>
      <c r="R27" s="123"/>
      <c r="S27" s="171">
        <f>COUNTIF(S9:S23,"Absent")</f>
        <v>0</v>
      </c>
      <c r="T27" s="122"/>
      <c r="U27" s="122"/>
      <c r="V27" s="123"/>
      <c r="W27" s="171">
        <f>COUNTIF(W9:W23,"Absent")</f>
        <v>0</v>
      </c>
      <c r="X27" s="122"/>
      <c r="Y27" s="122"/>
      <c r="Z27" s="123"/>
      <c r="AA27" s="171">
        <f>COUNTIF(AA9:AA23,"Absent")</f>
        <v>0</v>
      </c>
      <c r="AB27" s="122"/>
      <c r="AC27" s="122"/>
      <c r="AD27" s="123"/>
      <c r="AE27" s="171">
        <f>COUNTIF(AE9:AE23,"Absent")</f>
        <v>0</v>
      </c>
      <c r="AF27" s="122"/>
      <c r="AG27" s="122"/>
      <c r="AH27" s="123"/>
      <c r="AI27" s="171">
        <f>COUNTIF(AI9:AI23,"Absent")</f>
        <v>0</v>
      </c>
      <c r="AJ27" s="122"/>
      <c r="AK27" s="122"/>
      <c r="AL27" s="123"/>
      <c r="AM27" s="171">
        <f>COUNTIF(AM9:AM23,"Absent")</f>
        <v>0</v>
      </c>
      <c r="AN27" s="122"/>
      <c r="AO27" s="122"/>
      <c r="AP27" s="123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</row>
    <row r="28" spans="1:57" ht="15.75" customHeight="1" x14ac:dyDescent="0.2">
      <c r="A28" s="170" t="s">
        <v>24</v>
      </c>
      <c r="B28" s="123"/>
      <c r="C28" s="171">
        <f>COUNTIF(C9:C23,"Leave")+COUNTIF(C9:C23,"VL")</f>
        <v>0</v>
      </c>
      <c r="D28" s="122"/>
      <c r="E28" s="122"/>
      <c r="F28" s="123"/>
      <c r="G28" s="171">
        <f>COUNTIF(G9:G23,"Leave")+COUNTIF(G9:G23,"VL")</f>
        <v>0</v>
      </c>
      <c r="H28" s="122"/>
      <c r="I28" s="122"/>
      <c r="J28" s="123"/>
      <c r="K28" s="171">
        <f>COUNTIF(K9:K23,"Leave")+COUNTIF(K9:K23,"VL")</f>
        <v>0</v>
      </c>
      <c r="L28" s="122"/>
      <c r="M28" s="122"/>
      <c r="N28" s="123"/>
      <c r="O28" s="171">
        <f>COUNTIF(O9:O23,"Leave")+COUNTIF(O9:O23,"VL")</f>
        <v>0</v>
      </c>
      <c r="P28" s="122"/>
      <c r="Q28" s="122"/>
      <c r="R28" s="123"/>
      <c r="S28" s="171">
        <f>COUNTIF(S9:S23,"Leave")+COUNTIF(S9:S23,"VL")</f>
        <v>0</v>
      </c>
      <c r="T28" s="122"/>
      <c r="U28" s="122"/>
      <c r="V28" s="123"/>
      <c r="W28" s="171">
        <f>COUNTIF(W9:W23,"Leave")+COUNTIF(W9:W23,"VL")</f>
        <v>0</v>
      </c>
      <c r="X28" s="122"/>
      <c r="Y28" s="122"/>
      <c r="Z28" s="123"/>
      <c r="AA28" s="171">
        <f>COUNTIF(AA9:AA23,"Leave")+COUNTIF(AA9:AA23,"VL")</f>
        <v>0</v>
      </c>
      <c r="AB28" s="122"/>
      <c r="AC28" s="122"/>
      <c r="AD28" s="123"/>
      <c r="AE28" s="171">
        <f>COUNTIF(AE9:AE23,"Leave")+COUNTIF(AE9:AE23,"VL")</f>
        <v>0</v>
      </c>
      <c r="AF28" s="122"/>
      <c r="AG28" s="122"/>
      <c r="AH28" s="123"/>
      <c r="AI28" s="171">
        <f>COUNTIF(AI9:AI23,"Leave")+COUNTIF(AI9:AI23,"VL")</f>
        <v>0</v>
      </c>
      <c r="AJ28" s="122"/>
      <c r="AK28" s="122"/>
      <c r="AL28" s="123"/>
      <c r="AM28" s="171">
        <f>COUNTIF(AM9:AM23,"Leave")+COUNTIF(AM9:AM23,"VL")</f>
        <v>0</v>
      </c>
      <c r="AN28" s="122"/>
      <c r="AO28" s="122"/>
      <c r="AP28" s="123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</row>
    <row r="29" spans="1:57" ht="15.75" customHeight="1" x14ac:dyDescent="0.2">
      <c r="A29" s="170" t="s">
        <v>26</v>
      </c>
      <c r="B29" s="123"/>
      <c r="C29" s="174">
        <f>COUNTIF(C9:C23,"SL")</f>
        <v>0</v>
      </c>
      <c r="D29" s="122"/>
      <c r="E29" s="122"/>
      <c r="F29" s="123"/>
      <c r="G29" s="174">
        <f>COUNTIF(G9:G23,"SL")</f>
        <v>0</v>
      </c>
      <c r="H29" s="122"/>
      <c r="I29" s="122"/>
      <c r="J29" s="123"/>
      <c r="K29" s="174">
        <f>COUNTIF(K9:K23,"SL")</f>
        <v>0</v>
      </c>
      <c r="L29" s="122"/>
      <c r="M29" s="122"/>
      <c r="N29" s="123"/>
      <c r="O29" s="174">
        <f>COUNTIF(O9:O23,"SL")</f>
        <v>0</v>
      </c>
      <c r="P29" s="122"/>
      <c r="Q29" s="122"/>
      <c r="R29" s="123"/>
      <c r="S29" s="174">
        <f>COUNTIF(S9:S23,"SL")</f>
        <v>0</v>
      </c>
      <c r="T29" s="122"/>
      <c r="U29" s="122"/>
      <c r="V29" s="123"/>
      <c r="W29" s="174">
        <f>COUNTIF(W9:W23,"SL")</f>
        <v>0</v>
      </c>
      <c r="X29" s="122"/>
      <c r="Y29" s="122"/>
      <c r="Z29" s="123"/>
      <c r="AA29" s="174">
        <f>COUNTIF(AA9:AA23,"SL")</f>
        <v>0</v>
      </c>
      <c r="AB29" s="122"/>
      <c r="AC29" s="122"/>
      <c r="AD29" s="123"/>
      <c r="AE29" s="174">
        <f>COUNTIF(AE9:AE23,"SL")</f>
        <v>0</v>
      </c>
      <c r="AF29" s="122"/>
      <c r="AG29" s="122"/>
      <c r="AH29" s="123"/>
      <c r="AI29" s="174">
        <f>COUNTIF(AI9:AI23,"SL")</f>
        <v>0</v>
      </c>
      <c r="AJ29" s="122"/>
      <c r="AK29" s="122"/>
      <c r="AL29" s="123"/>
      <c r="AM29" s="174">
        <f>COUNTIF(AM9:AM23,"SL")</f>
        <v>0</v>
      </c>
      <c r="AN29" s="122"/>
      <c r="AO29" s="122"/>
      <c r="AP29" s="123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</row>
    <row r="30" spans="1:57" ht="15.75" customHeight="1" x14ac:dyDescent="0.2">
      <c r="A30" s="170" t="s">
        <v>76</v>
      </c>
      <c r="B30" s="123"/>
      <c r="C30" s="171">
        <f>COUNTIF(C9:C23,"ML")</f>
        <v>0</v>
      </c>
      <c r="D30" s="122"/>
      <c r="E30" s="122"/>
      <c r="F30" s="123"/>
      <c r="G30" s="171">
        <f>COUNTIF(G9:G23,"ML")</f>
        <v>0</v>
      </c>
      <c r="H30" s="122"/>
      <c r="I30" s="122"/>
      <c r="J30" s="123"/>
      <c r="K30" s="171">
        <f>COUNTIF(K9:K23,"ML")</f>
        <v>0</v>
      </c>
      <c r="L30" s="122"/>
      <c r="M30" s="122"/>
      <c r="N30" s="123"/>
      <c r="O30" s="171">
        <f>COUNTIF(O9:O23,"ML")</f>
        <v>0</v>
      </c>
      <c r="P30" s="122"/>
      <c r="Q30" s="122"/>
      <c r="R30" s="123"/>
      <c r="S30" s="171">
        <f>COUNTIF(S9:S23,"ML")</f>
        <v>0</v>
      </c>
      <c r="T30" s="122"/>
      <c r="U30" s="122"/>
      <c r="V30" s="123"/>
      <c r="W30" s="171">
        <f>COUNTIF(W9:W23,"ML")</f>
        <v>0</v>
      </c>
      <c r="X30" s="122"/>
      <c r="Y30" s="122"/>
      <c r="Z30" s="123"/>
      <c r="AA30" s="171">
        <f>COUNTIF(AA9:AA23,"ML")</f>
        <v>0</v>
      </c>
      <c r="AB30" s="122"/>
      <c r="AC30" s="122"/>
      <c r="AD30" s="123"/>
      <c r="AE30" s="171">
        <f>COUNTIF(AE9:AE23,"ML")</f>
        <v>0</v>
      </c>
      <c r="AF30" s="122"/>
      <c r="AG30" s="122"/>
      <c r="AH30" s="123"/>
      <c r="AI30" s="171">
        <f>COUNTIF(AI9:AI23,"ML")</f>
        <v>0</v>
      </c>
      <c r="AJ30" s="122"/>
      <c r="AK30" s="122"/>
      <c r="AL30" s="123"/>
      <c r="AM30" s="171">
        <f>COUNTIF(AM9:AM23,"ML")</f>
        <v>0</v>
      </c>
      <c r="AN30" s="122"/>
      <c r="AO30" s="122"/>
      <c r="AP30" s="123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</row>
    <row r="31" spans="1:57" ht="15.75" customHeight="1" x14ac:dyDescent="0.25">
      <c r="A31" s="2"/>
      <c r="B31" s="2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5.75" customHeight="1" x14ac:dyDescent="0.25">
      <c r="A32" s="2"/>
      <c r="B32" s="2"/>
      <c r="C32" s="24"/>
      <c r="D32" s="24"/>
      <c r="E32" s="24"/>
      <c r="F32" s="24"/>
      <c r="G32" s="24"/>
      <c r="H32" s="24"/>
      <c r="I32" s="24"/>
      <c r="J32" s="24"/>
      <c r="K32" s="24"/>
      <c r="L32" s="46"/>
      <c r="M32" s="46"/>
      <c r="N32" s="46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5.75" customHeight="1" x14ac:dyDescent="0.25">
      <c r="A33" s="2"/>
      <c r="B33" s="2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5.75" customHeight="1" x14ac:dyDescent="0.25">
      <c r="A34" s="2"/>
      <c r="B34" s="2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5.75" customHeight="1" x14ac:dyDescent="0.25">
      <c r="A35" s="2"/>
      <c r="B35" s="2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5.75" customHeight="1" x14ac:dyDescent="0.25">
      <c r="A36" s="2"/>
      <c r="B36" s="2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5.75" customHeight="1" x14ac:dyDescent="0.25">
      <c r="A37" s="2"/>
      <c r="B37" s="2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</row>
    <row r="38" spans="1:57" ht="15.75" customHeight="1" x14ac:dyDescent="0.25">
      <c r="A38" s="2"/>
      <c r="B38" s="2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</row>
    <row r="39" spans="1:57" ht="15.75" customHeight="1" x14ac:dyDescent="0.25">
      <c r="A39" s="2"/>
      <c r="B39" s="2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5.75" customHeight="1" x14ac:dyDescent="0.25">
      <c r="A40" s="2"/>
      <c r="B40" s="2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5.75" customHeight="1" x14ac:dyDescent="0.25">
      <c r="A41" s="2"/>
      <c r="B41" s="2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5.75" customHeight="1" x14ac:dyDescent="0.25">
      <c r="A42" s="2"/>
      <c r="B42" s="2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5.75" customHeight="1" x14ac:dyDescent="0.25">
      <c r="A43" s="2"/>
      <c r="B43" s="2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5.75" customHeight="1" x14ac:dyDescent="0.25">
      <c r="A44" s="2"/>
      <c r="B44" s="2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5.75" customHeight="1" x14ac:dyDescent="0.25">
      <c r="A45" s="2"/>
      <c r="B45" s="2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5.75" customHeight="1" x14ac:dyDescent="0.25">
      <c r="A46" s="2"/>
      <c r="B46" s="2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5.75" customHeight="1" x14ac:dyDescent="0.25">
      <c r="A47" s="2"/>
      <c r="B47" s="2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5.75" customHeight="1" x14ac:dyDescent="0.25">
      <c r="A48" s="2"/>
      <c r="B48" s="2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  <c r="AO48" s="24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5.75" customHeight="1" x14ac:dyDescent="0.25">
      <c r="A49" s="2"/>
      <c r="B49" s="2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5.75" customHeight="1" x14ac:dyDescent="0.25">
      <c r="A50" s="2"/>
      <c r="B50" s="2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5.75" customHeight="1" x14ac:dyDescent="0.25">
      <c r="A51" s="2"/>
      <c r="B51" s="2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5.75" customHeight="1" x14ac:dyDescent="0.25">
      <c r="A52" s="2"/>
      <c r="B52" s="2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5.75" customHeight="1" x14ac:dyDescent="0.25">
      <c r="A53" s="2"/>
      <c r="B53" s="2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5.75" customHeight="1" x14ac:dyDescent="0.25">
      <c r="A54" s="2"/>
      <c r="B54" s="2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5.75" customHeight="1" x14ac:dyDescent="0.25">
      <c r="A55" s="2"/>
      <c r="B55" s="2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</row>
    <row r="56" spans="1:57" ht="15.75" customHeight="1" x14ac:dyDescent="0.25">
      <c r="A56" s="2"/>
      <c r="B56" s="2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5.75" customHeight="1" x14ac:dyDescent="0.25">
      <c r="A57" s="2"/>
      <c r="B57" s="2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5.75" customHeight="1" x14ac:dyDescent="0.25">
      <c r="A58" s="2"/>
      <c r="B58" s="2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5.75" customHeight="1" x14ac:dyDescent="0.25">
      <c r="A59" s="2"/>
      <c r="B59" s="2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5.75" customHeight="1" x14ac:dyDescent="0.25">
      <c r="A60" s="2"/>
      <c r="B60" s="2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5.75" customHeight="1" x14ac:dyDescent="0.25">
      <c r="A61" s="2"/>
      <c r="B61" s="2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5.75" customHeight="1" x14ac:dyDescent="0.25">
      <c r="A62" s="2"/>
      <c r="B62" s="2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24"/>
      <c r="AN62" s="24"/>
      <c r="AO62" s="24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</row>
    <row r="71" spans="1:57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4.25" customHeight="1" x14ac:dyDescent="0.2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4.25" customHeight="1" x14ac:dyDescent="0.2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  <row r="101" spans="1:57" ht="14.25" customHeight="1" x14ac:dyDescent="0.2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</row>
    <row r="102" spans="1:57" ht="14.25" customHeight="1" x14ac:dyDescent="0.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</row>
    <row r="103" spans="1:57" ht="14.25" customHeight="1" x14ac:dyDescent="0.2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</row>
    <row r="104" spans="1:57" ht="14.25" customHeight="1" x14ac:dyDescent="0.2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</row>
    <row r="105" spans="1:57" ht="14.25" customHeight="1" x14ac:dyDescent="0.2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</row>
    <row r="106" spans="1:57" ht="14.25" customHeight="1" x14ac:dyDescent="0.2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</row>
    <row r="107" spans="1:57" ht="14.25" customHeight="1" x14ac:dyDescent="0.2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</row>
    <row r="108" spans="1:57" ht="14.25" customHeight="1" x14ac:dyDescent="0.2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</row>
    <row r="109" spans="1:57" ht="14.25" customHeight="1" x14ac:dyDescent="0.2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</row>
    <row r="110" spans="1:57" ht="14.25" customHeight="1" x14ac:dyDescent="0.2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</row>
    <row r="111" spans="1:57" ht="14.25" customHeight="1" x14ac:dyDescent="0.2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</row>
    <row r="112" spans="1:57" ht="14.25" customHeight="1" x14ac:dyDescent="0.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</row>
    <row r="113" spans="1:57" ht="14.25" customHeight="1" x14ac:dyDescent="0.2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</row>
    <row r="114" spans="1:57" ht="14.25" customHeight="1" x14ac:dyDescent="0.2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</row>
    <row r="115" spans="1:57" ht="14.25" customHeight="1" x14ac:dyDescent="0.2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</row>
    <row r="116" spans="1:57" ht="14.25" customHeight="1" x14ac:dyDescent="0.2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</row>
    <row r="117" spans="1:57" ht="14.25" customHeight="1" x14ac:dyDescent="0.2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</row>
    <row r="118" spans="1:57" ht="14.25" customHeight="1" x14ac:dyDescent="0.2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</row>
    <row r="119" spans="1:57" ht="14.25" customHeight="1" x14ac:dyDescent="0.2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</row>
    <row r="120" spans="1:57" ht="14.25" customHeight="1" x14ac:dyDescent="0.2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</row>
    <row r="121" spans="1:57" ht="14.25" customHeight="1" x14ac:dyDescent="0.2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</row>
    <row r="122" spans="1:57" ht="14.25" customHeight="1" x14ac:dyDescent="0.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</row>
    <row r="123" spans="1:57" ht="14.25" customHeight="1" x14ac:dyDescent="0.2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</row>
    <row r="124" spans="1:57" ht="14.25" customHeight="1" x14ac:dyDescent="0.2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</row>
    <row r="125" spans="1:57" ht="14.25" customHeight="1" x14ac:dyDescent="0.2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</row>
    <row r="126" spans="1:57" ht="14.25" customHeight="1" x14ac:dyDescent="0.2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</row>
    <row r="127" spans="1:57" ht="14.25" customHeight="1" x14ac:dyDescent="0.2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</row>
    <row r="128" spans="1:57" ht="14.25" customHeight="1" x14ac:dyDescent="0.2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</row>
    <row r="129" spans="1:57" ht="14.25" customHeight="1" x14ac:dyDescent="0.2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</row>
    <row r="130" spans="1:57" ht="14.25" customHeight="1" x14ac:dyDescent="0.2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</row>
    <row r="131" spans="1:57" ht="14.25" customHeight="1" x14ac:dyDescent="0.2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</row>
    <row r="132" spans="1:57" ht="14.25" customHeight="1" x14ac:dyDescent="0.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</row>
    <row r="133" spans="1:57" ht="14.25" customHeight="1" x14ac:dyDescent="0.2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</row>
    <row r="134" spans="1:57" ht="14.25" customHeight="1" x14ac:dyDescent="0.2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</row>
    <row r="135" spans="1:57" ht="14.25" customHeight="1" x14ac:dyDescent="0.2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</row>
    <row r="136" spans="1:57" ht="14.25" customHeight="1" x14ac:dyDescent="0.2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</row>
    <row r="137" spans="1:57" ht="14.25" customHeight="1" x14ac:dyDescent="0.2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</row>
    <row r="138" spans="1:57" ht="14.25" customHeight="1" x14ac:dyDescent="0.2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</row>
    <row r="139" spans="1:57" ht="14.25" customHeight="1" x14ac:dyDescent="0.2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</row>
    <row r="140" spans="1:57" ht="14.25" customHeight="1" x14ac:dyDescent="0.2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</row>
    <row r="141" spans="1:57" ht="14.25" customHeight="1" x14ac:dyDescent="0.2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</row>
    <row r="142" spans="1:57" ht="14.25" customHeight="1" x14ac:dyDescent="0.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</row>
    <row r="143" spans="1:57" ht="14.25" customHeight="1" x14ac:dyDescent="0.2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</row>
    <row r="144" spans="1:57" ht="14.25" customHeight="1" x14ac:dyDescent="0.2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</row>
    <row r="145" spans="1:57" ht="14.25" customHeight="1" x14ac:dyDescent="0.2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</row>
    <row r="146" spans="1:57" ht="14.25" customHeight="1" x14ac:dyDescent="0.2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</row>
    <row r="147" spans="1:57" ht="14.25" customHeight="1" x14ac:dyDescent="0.2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</row>
    <row r="148" spans="1:57" ht="14.25" customHeight="1" x14ac:dyDescent="0.2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</row>
    <row r="149" spans="1:57" ht="14.25" customHeight="1" x14ac:dyDescent="0.2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</row>
    <row r="150" spans="1:57" ht="14.25" customHeight="1" x14ac:dyDescent="0.2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</row>
    <row r="151" spans="1:57" ht="14.25" customHeight="1" x14ac:dyDescent="0.2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</row>
    <row r="152" spans="1:57" ht="14.25" customHeight="1" x14ac:dyDescent="0.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</row>
    <row r="153" spans="1:57" ht="14.25" customHeight="1" x14ac:dyDescent="0.2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</row>
    <row r="154" spans="1:57" ht="14.25" customHeight="1" x14ac:dyDescent="0.2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</row>
    <row r="155" spans="1:57" ht="14.25" customHeight="1" x14ac:dyDescent="0.2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</row>
    <row r="156" spans="1:57" ht="14.25" customHeight="1" x14ac:dyDescent="0.2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</row>
    <row r="157" spans="1:57" ht="14.25" customHeight="1" x14ac:dyDescent="0.2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</row>
    <row r="158" spans="1:57" ht="14.25" customHeight="1" x14ac:dyDescent="0.2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</row>
    <row r="159" spans="1:57" ht="14.25" customHeight="1" x14ac:dyDescent="0.2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</row>
    <row r="160" spans="1:57" ht="14.25" customHeight="1" x14ac:dyDescent="0.2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</row>
    <row r="161" spans="1:57" ht="14.25" customHeight="1" x14ac:dyDescent="0.2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</row>
    <row r="162" spans="1:57" ht="14.25" customHeight="1" x14ac:dyDescent="0.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</row>
    <row r="163" spans="1:57" ht="14.25" customHeight="1" x14ac:dyDescent="0.2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</row>
    <row r="164" spans="1:57" ht="14.25" customHeight="1" x14ac:dyDescent="0.2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</row>
    <row r="165" spans="1:57" ht="14.25" customHeight="1" x14ac:dyDescent="0.2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</row>
    <row r="166" spans="1:57" ht="14.25" customHeight="1" x14ac:dyDescent="0.2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</row>
    <row r="167" spans="1:57" ht="14.25" customHeight="1" x14ac:dyDescent="0.2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</row>
    <row r="168" spans="1:57" ht="14.25" customHeight="1" x14ac:dyDescent="0.2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</row>
    <row r="169" spans="1:57" ht="14.25" customHeight="1" x14ac:dyDescent="0.2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</row>
    <row r="170" spans="1:57" ht="14.25" customHeight="1" x14ac:dyDescent="0.2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</row>
    <row r="171" spans="1:57" ht="14.25" customHeight="1" x14ac:dyDescent="0.2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</row>
    <row r="172" spans="1:57" ht="14.25" customHeight="1" x14ac:dyDescent="0.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</row>
    <row r="173" spans="1:57" ht="14.25" customHeight="1" x14ac:dyDescent="0.2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</row>
    <row r="174" spans="1:57" ht="14.25" customHeight="1" x14ac:dyDescent="0.2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</row>
    <row r="175" spans="1:57" ht="14.25" customHeight="1" x14ac:dyDescent="0.2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</row>
    <row r="176" spans="1:57" ht="14.25" customHeight="1" x14ac:dyDescent="0.2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</row>
    <row r="177" spans="1:57" ht="14.25" customHeight="1" x14ac:dyDescent="0.2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</row>
    <row r="178" spans="1:57" ht="14.25" customHeight="1" x14ac:dyDescent="0.2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</row>
    <row r="179" spans="1:57" ht="14.25" customHeight="1" x14ac:dyDescent="0.2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</row>
    <row r="180" spans="1:57" ht="14.25" customHeight="1" x14ac:dyDescent="0.2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</row>
    <row r="181" spans="1:57" ht="14.25" customHeight="1" x14ac:dyDescent="0.2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</row>
    <row r="182" spans="1:57" ht="14.25" customHeight="1" x14ac:dyDescent="0.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</row>
    <row r="183" spans="1:57" ht="14.25" customHeight="1" x14ac:dyDescent="0.2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</row>
    <row r="184" spans="1:57" ht="14.25" customHeight="1" x14ac:dyDescent="0.2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</row>
    <row r="185" spans="1:57" ht="14.25" customHeight="1" x14ac:dyDescent="0.2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</row>
    <row r="186" spans="1:57" ht="14.25" customHeight="1" x14ac:dyDescent="0.2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</row>
    <row r="187" spans="1:57" ht="14.25" customHeight="1" x14ac:dyDescent="0.2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</row>
    <row r="188" spans="1:57" ht="14.25" customHeight="1" x14ac:dyDescent="0.2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</row>
    <row r="189" spans="1:57" ht="14.25" customHeight="1" x14ac:dyDescent="0.2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</row>
    <row r="190" spans="1:57" ht="14.25" customHeight="1" x14ac:dyDescent="0.2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</row>
    <row r="191" spans="1:57" ht="14.25" customHeight="1" x14ac:dyDescent="0.2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</row>
    <row r="192" spans="1:57" ht="14.25" customHeight="1" x14ac:dyDescent="0.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</row>
    <row r="193" spans="1:57" ht="14.25" customHeight="1" x14ac:dyDescent="0.2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</row>
    <row r="194" spans="1:57" ht="14.25" customHeight="1" x14ac:dyDescent="0.2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</row>
    <row r="195" spans="1:57" ht="14.25" customHeight="1" x14ac:dyDescent="0.2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</row>
    <row r="196" spans="1:57" ht="14.25" customHeight="1" x14ac:dyDescent="0.2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</row>
    <row r="197" spans="1:57" ht="14.25" customHeight="1" x14ac:dyDescent="0.2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</row>
    <row r="198" spans="1:57" ht="14.25" customHeight="1" x14ac:dyDescent="0.2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</row>
    <row r="199" spans="1:57" ht="14.25" customHeight="1" x14ac:dyDescent="0.2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</row>
    <row r="200" spans="1:57" ht="14.25" customHeight="1" x14ac:dyDescent="0.2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</row>
    <row r="201" spans="1:57" ht="14.25" customHeight="1" x14ac:dyDescent="0.2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</row>
    <row r="202" spans="1:57" ht="14.25" customHeight="1" x14ac:dyDescent="0.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</row>
    <row r="203" spans="1:57" ht="14.25" customHeight="1" x14ac:dyDescent="0.2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</row>
    <row r="204" spans="1:57" ht="14.25" customHeight="1" x14ac:dyDescent="0.2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</row>
    <row r="205" spans="1:57" ht="14.25" customHeight="1" x14ac:dyDescent="0.2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</row>
    <row r="206" spans="1:57" ht="14.25" customHeight="1" x14ac:dyDescent="0.2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</row>
    <row r="207" spans="1:57" ht="14.25" customHeight="1" x14ac:dyDescent="0.2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</row>
    <row r="208" spans="1:57" ht="14.25" customHeight="1" x14ac:dyDescent="0.2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</row>
    <row r="209" spans="1:57" ht="14.25" customHeight="1" x14ac:dyDescent="0.2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</row>
    <row r="210" spans="1:57" ht="14.25" customHeight="1" x14ac:dyDescent="0.2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</row>
    <row r="211" spans="1:57" ht="14.25" customHeight="1" x14ac:dyDescent="0.2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</row>
    <row r="212" spans="1:57" ht="14.25" customHeight="1" x14ac:dyDescent="0.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</row>
    <row r="213" spans="1:57" ht="14.25" customHeight="1" x14ac:dyDescent="0.2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</row>
    <row r="214" spans="1:57" ht="14.25" customHeight="1" x14ac:dyDescent="0.2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</row>
    <row r="215" spans="1:57" ht="14.25" customHeight="1" x14ac:dyDescent="0.2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</row>
    <row r="216" spans="1:57" ht="14.25" customHeight="1" x14ac:dyDescent="0.2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</row>
    <row r="217" spans="1:57" ht="14.25" customHeight="1" x14ac:dyDescent="0.2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</row>
    <row r="218" spans="1:57" ht="14.25" customHeight="1" x14ac:dyDescent="0.2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</row>
    <row r="219" spans="1:57" ht="14.25" customHeight="1" x14ac:dyDescent="0.2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</row>
    <row r="220" spans="1:57" ht="14.25" customHeight="1" x14ac:dyDescent="0.2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</row>
    <row r="221" spans="1:57" ht="14.25" customHeight="1" x14ac:dyDescent="0.2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</row>
    <row r="222" spans="1:57" ht="14.25" customHeight="1" x14ac:dyDescent="0.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</row>
    <row r="223" spans="1:57" ht="14.25" customHeight="1" x14ac:dyDescent="0.2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</row>
    <row r="224" spans="1:57" ht="14.25" customHeight="1" x14ac:dyDescent="0.2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</row>
    <row r="225" spans="1:57" ht="14.25" customHeight="1" x14ac:dyDescent="0.2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</row>
    <row r="226" spans="1:57" ht="14.25" customHeight="1" x14ac:dyDescent="0.2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</row>
    <row r="227" spans="1:57" ht="14.25" customHeight="1" x14ac:dyDescent="0.2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</row>
    <row r="228" spans="1:57" ht="14.25" customHeight="1" x14ac:dyDescent="0.2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</row>
    <row r="229" spans="1:57" ht="14.25" customHeight="1" x14ac:dyDescent="0.2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</row>
    <row r="230" spans="1:57" ht="14.25" customHeight="1" x14ac:dyDescent="0.2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</row>
    <row r="231" spans="1:57" ht="14.25" customHeight="1" x14ac:dyDescent="0.2"/>
    <row r="232" spans="1:57" ht="14.25" customHeight="1" x14ac:dyDescent="0.2"/>
    <row r="233" spans="1:57" ht="14.25" customHeight="1" x14ac:dyDescent="0.2"/>
    <row r="234" spans="1:57" ht="14.25" customHeight="1" x14ac:dyDescent="0.2"/>
    <row r="235" spans="1:57" ht="14.25" customHeight="1" x14ac:dyDescent="0.2"/>
    <row r="236" spans="1:57" ht="14.25" customHeight="1" x14ac:dyDescent="0.2"/>
    <row r="237" spans="1:57" ht="14.25" customHeight="1" x14ac:dyDescent="0.2"/>
    <row r="238" spans="1:57" ht="14.25" customHeight="1" x14ac:dyDescent="0.2"/>
    <row r="239" spans="1:57" ht="14.25" customHeight="1" x14ac:dyDescent="0.2"/>
    <row r="240" spans="1:57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76">
    <mergeCell ref="AA28:AD28"/>
    <mergeCell ref="AE28:AH28"/>
    <mergeCell ref="AI28:AL28"/>
    <mergeCell ref="A28:B28"/>
    <mergeCell ref="C28:F28"/>
    <mergeCell ref="G28:J28"/>
    <mergeCell ref="K28:N28"/>
    <mergeCell ref="O28:R28"/>
    <mergeCell ref="S28:V28"/>
    <mergeCell ref="W28:Z28"/>
    <mergeCell ref="AA29:AD29"/>
    <mergeCell ref="AE29:AH29"/>
    <mergeCell ref="AI29:AL29"/>
    <mergeCell ref="A29:B29"/>
    <mergeCell ref="C29:F29"/>
    <mergeCell ref="G29:J29"/>
    <mergeCell ref="K29:N29"/>
    <mergeCell ref="O29:R29"/>
    <mergeCell ref="S29:V29"/>
    <mergeCell ref="W29:Z29"/>
    <mergeCell ref="AA30:AD30"/>
    <mergeCell ref="AE30:AH30"/>
    <mergeCell ref="AI30:AL30"/>
    <mergeCell ref="A30:B30"/>
    <mergeCell ref="C30:F30"/>
    <mergeCell ref="G30:J30"/>
    <mergeCell ref="K30:N30"/>
    <mergeCell ref="O30:R30"/>
    <mergeCell ref="S30:V30"/>
    <mergeCell ref="W30:Z30"/>
    <mergeCell ref="Y7:Z7"/>
    <mergeCell ref="AA7:AB7"/>
    <mergeCell ref="A7:B7"/>
    <mergeCell ref="C7:D7"/>
    <mergeCell ref="E7:F7"/>
    <mergeCell ref="G7:H7"/>
    <mergeCell ref="I7:J7"/>
    <mergeCell ref="K7:L7"/>
    <mergeCell ref="M7:N7"/>
    <mergeCell ref="O7:P7"/>
    <mergeCell ref="Q7:R7"/>
    <mergeCell ref="S7:T7"/>
    <mergeCell ref="U7:V7"/>
    <mergeCell ref="W7:X7"/>
    <mergeCell ref="A26:B26"/>
    <mergeCell ref="C26:F26"/>
    <mergeCell ref="G26:J26"/>
    <mergeCell ref="K26:N26"/>
    <mergeCell ref="O26:R26"/>
    <mergeCell ref="S27:V27"/>
    <mergeCell ref="W27:Z27"/>
    <mergeCell ref="AA26:AD26"/>
    <mergeCell ref="AE26:AH26"/>
    <mergeCell ref="AI26:AL26"/>
    <mergeCell ref="S26:V26"/>
    <mergeCell ref="W26:Z26"/>
    <mergeCell ref="A27:B27"/>
    <mergeCell ref="C27:F27"/>
    <mergeCell ref="G27:J27"/>
    <mergeCell ref="K27:N27"/>
    <mergeCell ref="O27:R27"/>
    <mergeCell ref="AM7:AN7"/>
    <mergeCell ref="AO7:AP7"/>
    <mergeCell ref="AA27:AD27"/>
    <mergeCell ref="AE27:AH27"/>
    <mergeCell ref="AI27:AL27"/>
    <mergeCell ref="AC7:AD7"/>
    <mergeCell ref="AE7:AF7"/>
    <mergeCell ref="AG7:AH7"/>
    <mergeCell ref="AI7:AJ7"/>
    <mergeCell ref="AK7:AL7"/>
    <mergeCell ref="AM29:AP29"/>
    <mergeCell ref="AM30:AP30"/>
    <mergeCell ref="AM26:AP26"/>
    <mergeCell ref="AM27:AP27"/>
    <mergeCell ref="AM28:AP28"/>
  </mergeCells>
  <pageMargins left="0.7" right="0.7" top="1.9312499999999999" bottom="1.9312499999999999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N1000"/>
  <sheetViews>
    <sheetView workbookViewId="0">
      <pane xSplit="2" topLeftCell="P1" activePane="topRight" state="frozen"/>
      <selection pane="topRight" activeCell="A9" sqref="A9:B24"/>
    </sheetView>
  </sheetViews>
  <sheetFormatPr defaultColWidth="12.625" defaultRowHeight="15" customHeight="1" x14ac:dyDescent="0.2"/>
  <cols>
    <col min="1" max="1" width="10.125" customWidth="1"/>
    <col min="2" max="2" width="6.625" customWidth="1"/>
    <col min="3" max="3" width="9.875" customWidth="1"/>
    <col min="4" max="4" width="10.125" customWidth="1"/>
    <col min="5" max="6" width="13" customWidth="1"/>
    <col min="7" max="7" width="10.125" customWidth="1"/>
    <col min="8" max="8" width="10" customWidth="1"/>
    <col min="9" max="10" width="11.75" customWidth="1"/>
    <col min="11" max="11" width="11" customWidth="1"/>
    <col min="12" max="12" width="13.25" customWidth="1"/>
    <col min="13" max="14" width="11.75" customWidth="1"/>
    <col min="15" max="15" width="12.25" customWidth="1"/>
    <col min="16" max="18" width="11.75" customWidth="1"/>
    <col min="19" max="19" width="10.75" customWidth="1"/>
    <col min="20" max="20" width="10.875" customWidth="1"/>
    <col min="21" max="22" width="11.75" customWidth="1"/>
    <col min="23" max="32" width="8.375" customWidth="1"/>
    <col min="33" max="40" width="13.875" customWidth="1"/>
  </cols>
  <sheetData>
    <row r="1" spans="1:40" ht="14.25" customHeight="1" x14ac:dyDescent="0.25">
      <c r="A1" s="1" t="s">
        <v>1</v>
      </c>
      <c r="B1" s="2"/>
      <c r="C1" s="3" t="s">
        <v>4</v>
      </c>
      <c r="D1" s="5"/>
      <c r="E1" s="5"/>
      <c r="F1" s="5"/>
      <c r="G1" s="5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6"/>
      <c r="AH1" s="6"/>
      <c r="AI1" s="6"/>
      <c r="AJ1" s="6"/>
      <c r="AK1" s="6"/>
      <c r="AL1" s="6"/>
      <c r="AM1" s="6"/>
      <c r="AN1" s="6"/>
    </row>
    <row r="2" spans="1:40" ht="14.25" customHeight="1" x14ac:dyDescent="0.25">
      <c r="A2" s="7" t="s">
        <v>7</v>
      </c>
      <c r="B2" s="2"/>
      <c r="C2" s="3" t="s">
        <v>8</v>
      </c>
      <c r="D2" s="8"/>
      <c r="E2" s="8"/>
      <c r="F2" s="8"/>
      <c r="G2" s="8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6"/>
      <c r="AH2" s="6"/>
      <c r="AI2" s="6"/>
      <c r="AJ2" s="6"/>
      <c r="AK2" s="6"/>
      <c r="AL2" s="6"/>
      <c r="AM2" s="6"/>
      <c r="AN2" s="6"/>
    </row>
    <row r="3" spans="1:40" ht="14.25" customHeight="1" x14ac:dyDescent="0.25">
      <c r="A3" s="7" t="s">
        <v>10</v>
      </c>
      <c r="B3" s="2"/>
      <c r="C3" s="10" t="s">
        <v>17</v>
      </c>
      <c r="D3" s="8"/>
      <c r="E3" s="8"/>
      <c r="F3" s="8"/>
      <c r="G3" s="8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6"/>
      <c r="AH3" s="6"/>
      <c r="AI3" s="6"/>
      <c r="AJ3" s="6"/>
      <c r="AK3" s="6"/>
      <c r="AL3" s="6"/>
      <c r="AM3" s="6"/>
      <c r="AN3" s="6"/>
    </row>
    <row r="4" spans="1:40" ht="14.25" customHeight="1" x14ac:dyDescent="0.25">
      <c r="A4" s="7" t="s">
        <v>14</v>
      </c>
      <c r="B4" s="2"/>
      <c r="C4" s="16" t="str">
        <f>CLEAN('SUMMARY_-_GCM'!D5)</f>
        <v>October 1-15, 2026</v>
      </c>
      <c r="D4" s="8"/>
      <c r="E4" s="8"/>
      <c r="F4" s="8"/>
      <c r="G4" s="8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6"/>
      <c r="AH4" s="6"/>
      <c r="AI4" s="6"/>
      <c r="AJ4" s="6"/>
      <c r="AK4" s="6"/>
      <c r="AL4" s="6"/>
      <c r="AM4" s="6"/>
      <c r="AN4" s="6"/>
    </row>
    <row r="5" spans="1:40" ht="14.25" customHeight="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6"/>
      <c r="AH5" s="6"/>
      <c r="AI5" s="6"/>
      <c r="AJ5" s="6"/>
      <c r="AK5" s="6"/>
      <c r="AL5" s="6"/>
      <c r="AM5" s="6"/>
      <c r="AN5" s="6"/>
    </row>
    <row r="6" spans="1:40" ht="14.25" customHeight="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6"/>
      <c r="AH6" s="6"/>
      <c r="AI6" s="6"/>
      <c r="AJ6" s="6"/>
      <c r="AK6" s="6"/>
      <c r="AL6" s="6"/>
      <c r="AM6" s="6"/>
      <c r="AN6" s="6"/>
    </row>
    <row r="7" spans="1:40" ht="15" customHeight="1" x14ac:dyDescent="0.25">
      <c r="A7" s="129" t="s">
        <v>25</v>
      </c>
      <c r="B7" s="123"/>
      <c r="C7" s="129" t="s">
        <v>41</v>
      </c>
      <c r="D7" s="123"/>
      <c r="E7" s="127" t="s">
        <v>29</v>
      </c>
      <c r="F7" s="128"/>
      <c r="G7" s="129" t="s">
        <v>44</v>
      </c>
      <c r="H7" s="123"/>
      <c r="I7" s="127" t="s">
        <v>29</v>
      </c>
      <c r="J7" s="128"/>
      <c r="K7" s="129" t="s">
        <v>45</v>
      </c>
      <c r="L7" s="123"/>
      <c r="M7" s="127" t="s">
        <v>29</v>
      </c>
      <c r="N7" s="128"/>
      <c r="O7" s="129" t="s">
        <v>52</v>
      </c>
      <c r="P7" s="123"/>
      <c r="Q7" s="127" t="s">
        <v>29</v>
      </c>
      <c r="R7" s="128"/>
      <c r="S7" s="129" t="s">
        <v>55</v>
      </c>
      <c r="T7" s="123"/>
      <c r="U7" s="127" t="s">
        <v>29</v>
      </c>
      <c r="V7" s="128"/>
      <c r="W7" s="175"/>
      <c r="X7" s="149"/>
      <c r="Y7" s="175"/>
      <c r="Z7" s="149"/>
      <c r="AA7" s="175"/>
      <c r="AB7" s="149"/>
      <c r="AC7" s="175"/>
      <c r="AD7" s="149"/>
      <c r="AE7" s="2"/>
      <c r="AF7" s="2"/>
      <c r="AG7" s="6"/>
      <c r="AH7" s="6"/>
      <c r="AI7" s="6"/>
      <c r="AJ7" s="6"/>
      <c r="AK7" s="6"/>
      <c r="AL7" s="6"/>
      <c r="AM7" s="6"/>
      <c r="AN7" s="6"/>
    </row>
    <row r="8" spans="1:40" ht="15" customHeight="1" x14ac:dyDescent="0.25">
      <c r="A8" s="31" t="str">
        <f>CLEAN(BUUG!A8)</f>
        <v>#</v>
      </c>
      <c r="B8" s="31" t="s">
        <v>34</v>
      </c>
      <c r="C8" s="21" t="s">
        <v>35</v>
      </c>
      <c r="D8" s="21" t="s">
        <v>36</v>
      </c>
      <c r="E8" s="22" t="s">
        <v>35</v>
      </c>
      <c r="F8" s="22" t="s">
        <v>36</v>
      </c>
      <c r="G8" s="21" t="s">
        <v>35</v>
      </c>
      <c r="H8" s="21" t="s">
        <v>36</v>
      </c>
      <c r="I8" s="22" t="s">
        <v>35</v>
      </c>
      <c r="J8" s="22" t="s">
        <v>36</v>
      </c>
      <c r="K8" s="21" t="s">
        <v>35</v>
      </c>
      <c r="L8" s="21" t="s">
        <v>36</v>
      </c>
      <c r="M8" s="22" t="s">
        <v>35</v>
      </c>
      <c r="N8" s="22" t="s">
        <v>36</v>
      </c>
      <c r="O8" s="21" t="s">
        <v>35</v>
      </c>
      <c r="P8" s="21" t="s">
        <v>36</v>
      </c>
      <c r="Q8" s="22" t="s">
        <v>35</v>
      </c>
      <c r="R8" s="22" t="s">
        <v>36</v>
      </c>
      <c r="S8" s="21" t="s">
        <v>35</v>
      </c>
      <c r="T8" s="21" t="s">
        <v>36</v>
      </c>
      <c r="U8" s="22" t="s">
        <v>35</v>
      </c>
      <c r="V8" s="22" t="s">
        <v>36</v>
      </c>
      <c r="W8" s="19"/>
      <c r="X8" s="19"/>
      <c r="Y8" s="19"/>
      <c r="Z8" s="19"/>
      <c r="AA8" s="19"/>
      <c r="AB8" s="19"/>
      <c r="AC8" s="19"/>
      <c r="AD8" s="19"/>
      <c r="AE8" s="2"/>
      <c r="AF8" s="2"/>
      <c r="AG8" s="6"/>
      <c r="AH8" s="6"/>
      <c r="AI8" s="6"/>
      <c r="AJ8" s="6"/>
      <c r="AK8" s="6"/>
      <c r="AL8" s="6"/>
      <c r="AM8" s="6"/>
      <c r="AN8" s="6"/>
    </row>
    <row r="9" spans="1:40" ht="14.25" customHeight="1" x14ac:dyDescent="0.2">
      <c r="A9" s="96"/>
      <c r="B9" s="96"/>
      <c r="C9" s="95"/>
      <c r="D9" s="93"/>
      <c r="E9" s="97"/>
      <c r="F9" s="97"/>
      <c r="G9" s="95"/>
      <c r="H9" s="93"/>
      <c r="I9" s="97"/>
      <c r="J9" s="97"/>
      <c r="K9" s="95"/>
      <c r="L9" s="93"/>
      <c r="M9" s="97"/>
      <c r="N9" s="97"/>
      <c r="O9" s="95"/>
      <c r="P9" s="93"/>
      <c r="Q9" s="97"/>
      <c r="R9" s="97"/>
      <c r="S9" s="107"/>
      <c r="T9" s="107"/>
      <c r="U9" s="97"/>
      <c r="V9" s="97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6"/>
      <c r="AH9" s="6"/>
      <c r="AI9" s="6"/>
      <c r="AJ9" s="6"/>
      <c r="AK9" s="6"/>
      <c r="AL9" s="6"/>
      <c r="AM9" s="6"/>
      <c r="AN9" s="6"/>
    </row>
    <row r="10" spans="1:40" ht="14.25" customHeight="1" x14ac:dyDescent="0.2">
      <c r="A10" s="96"/>
      <c r="B10" s="96"/>
      <c r="C10" s="95"/>
      <c r="D10" s="93"/>
      <c r="E10" s="97"/>
      <c r="F10" s="97"/>
      <c r="G10" s="95"/>
      <c r="H10" s="93"/>
      <c r="I10" s="97"/>
      <c r="J10" s="97"/>
      <c r="K10" s="93"/>
      <c r="L10" s="93"/>
      <c r="M10" s="97"/>
      <c r="N10" s="97"/>
      <c r="O10" s="107"/>
      <c r="P10" s="107"/>
      <c r="Q10" s="97"/>
      <c r="R10" s="97"/>
      <c r="S10" s="93"/>
      <c r="T10" s="93"/>
      <c r="U10" s="97"/>
      <c r="V10" s="97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6"/>
      <c r="AH10" s="6"/>
      <c r="AI10" s="6"/>
      <c r="AJ10" s="6"/>
      <c r="AK10" s="6"/>
      <c r="AL10" s="6"/>
      <c r="AM10" s="6"/>
      <c r="AN10" s="6"/>
    </row>
    <row r="11" spans="1:40" ht="14.25" customHeight="1" x14ac:dyDescent="0.2">
      <c r="A11" s="96"/>
      <c r="B11" s="96"/>
      <c r="C11" s="95"/>
      <c r="D11" s="93"/>
      <c r="E11" s="97"/>
      <c r="F11" s="97"/>
      <c r="G11" s="95"/>
      <c r="H11" s="93"/>
      <c r="I11" s="97"/>
      <c r="J11" s="97"/>
      <c r="K11" s="95"/>
      <c r="L11" s="93"/>
      <c r="M11" s="97"/>
      <c r="N11" s="97"/>
      <c r="O11" s="107"/>
      <c r="P11" s="107"/>
      <c r="Q11" s="97"/>
      <c r="R11" s="97"/>
      <c r="S11" s="107"/>
      <c r="T11" s="93"/>
      <c r="U11" s="97"/>
      <c r="V11" s="97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6"/>
      <c r="AH11" s="6"/>
      <c r="AI11" s="6"/>
      <c r="AJ11" s="6"/>
      <c r="AK11" s="6"/>
      <c r="AL11" s="6"/>
      <c r="AM11" s="6"/>
      <c r="AN11" s="6"/>
    </row>
    <row r="12" spans="1:40" ht="14.25" customHeight="1" x14ac:dyDescent="0.2">
      <c r="A12" s="96"/>
      <c r="B12" s="96"/>
      <c r="C12" s="95"/>
      <c r="D12" s="93"/>
      <c r="E12" s="97"/>
      <c r="F12" s="97"/>
      <c r="G12" s="95"/>
      <c r="H12" s="93"/>
      <c r="I12" s="97"/>
      <c r="J12" s="97"/>
      <c r="K12" s="93"/>
      <c r="L12" s="93"/>
      <c r="M12" s="97"/>
      <c r="N12" s="97"/>
      <c r="O12" s="107"/>
      <c r="P12" s="107"/>
      <c r="Q12" s="97"/>
      <c r="R12" s="97"/>
      <c r="S12" s="95"/>
      <c r="T12" s="93"/>
      <c r="U12" s="97"/>
      <c r="V12" s="97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6"/>
      <c r="AH12" s="6"/>
      <c r="AI12" s="6"/>
      <c r="AJ12" s="6"/>
      <c r="AK12" s="6"/>
      <c r="AL12" s="6"/>
      <c r="AM12" s="6"/>
      <c r="AN12" s="6"/>
    </row>
    <row r="13" spans="1:40" ht="14.25" customHeight="1" x14ac:dyDescent="0.2">
      <c r="A13" s="96"/>
      <c r="B13" s="96"/>
      <c r="C13" s="95"/>
      <c r="D13" s="93"/>
      <c r="E13" s="97"/>
      <c r="F13" s="97"/>
      <c r="G13" s="95"/>
      <c r="H13" s="93"/>
      <c r="I13" s="97"/>
      <c r="J13" s="97"/>
      <c r="K13" s="107"/>
      <c r="L13" s="107"/>
      <c r="M13" s="97"/>
      <c r="N13" s="97"/>
      <c r="O13" s="107"/>
      <c r="P13" s="107"/>
      <c r="Q13" s="97"/>
      <c r="R13" s="97"/>
      <c r="S13" s="107"/>
      <c r="T13" s="107"/>
      <c r="U13" s="97"/>
      <c r="V13" s="97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6"/>
      <c r="AH13" s="6"/>
      <c r="AI13" s="6"/>
      <c r="AJ13" s="6"/>
      <c r="AK13" s="6"/>
      <c r="AL13" s="6"/>
      <c r="AM13" s="6"/>
      <c r="AN13" s="6"/>
    </row>
    <row r="14" spans="1:40" ht="14.25" customHeight="1" x14ac:dyDescent="0.2">
      <c r="A14" s="96"/>
      <c r="B14" s="96"/>
      <c r="C14" s="95"/>
      <c r="D14" s="93"/>
      <c r="E14" s="97"/>
      <c r="F14" s="97"/>
      <c r="G14" s="95"/>
      <c r="H14" s="93"/>
      <c r="I14" s="97"/>
      <c r="J14" s="97"/>
      <c r="K14" s="93"/>
      <c r="L14" s="93"/>
      <c r="M14" s="97"/>
      <c r="N14" s="97"/>
      <c r="O14" s="94"/>
      <c r="P14" s="94"/>
      <c r="Q14" s="97"/>
      <c r="R14" s="97"/>
      <c r="S14" s="107"/>
      <c r="T14" s="107"/>
      <c r="U14" s="97"/>
      <c r="V14" s="97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6"/>
      <c r="AH14" s="6"/>
      <c r="AI14" s="6"/>
      <c r="AJ14" s="6"/>
      <c r="AK14" s="6"/>
      <c r="AL14" s="6"/>
      <c r="AM14" s="6"/>
      <c r="AN14" s="6"/>
    </row>
    <row r="15" spans="1:40" ht="14.25" customHeight="1" x14ac:dyDescent="0.2">
      <c r="A15" s="96"/>
      <c r="B15" s="96"/>
      <c r="C15" s="94"/>
      <c r="D15" s="93"/>
      <c r="E15" s="97"/>
      <c r="F15" s="97"/>
      <c r="G15" s="94"/>
      <c r="H15" s="94"/>
      <c r="I15" s="97"/>
      <c r="J15" s="97"/>
      <c r="K15" s="93"/>
      <c r="L15" s="93"/>
      <c r="M15" s="97"/>
      <c r="N15" s="97"/>
      <c r="O15" s="107"/>
      <c r="P15" s="107"/>
      <c r="Q15" s="97"/>
      <c r="R15" s="97"/>
      <c r="S15" s="107"/>
      <c r="T15" s="107"/>
      <c r="U15" s="97"/>
      <c r="V15" s="97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6"/>
      <c r="AH15" s="6"/>
      <c r="AI15" s="6"/>
      <c r="AJ15" s="6"/>
      <c r="AK15" s="6"/>
      <c r="AL15" s="6"/>
      <c r="AM15" s="6"/>
      <c r="AN15" s="6"/>
    </row>
    <row r="16" spans="1:40" ht="14.25" customHeight="1" x14ac:dyDescent="0.2">
      <c r="A16" s="96"/>
      <c r="B16" s="96"/>
      <c r="C16" s="95"/>
      <c r="D16" s="93"/>
      <c r="E16" s="97"/>
      <c r="F16" s="97"/>
      <c r="G16" s="95"/>
      <c r="H16" s="95"/>
      <c r="I16" s="97"/>
      <c r="J16" s="97"/>
      <c r="K16" s="94"/>
      <c r="L16" s="94"/>
      <c r="M16" s="97"/>
      <c r="N16" s="97"/>
      <c r="O16" s="94"/>
      <c r="P16" s="94"/>
      <c r="Q16" s="97"/>
      <c r="R16" s="97"/>
      <c r="S16" s="107"/>
      <c r="T16" s="107"/>
      <c r="U16" s="97"/>
      <c r="V16" s="97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6"/>
      <c r="AH16" s="6"/>
      <c r="AI16" s="6"/>
      <c r="AJ16" s="6"/>
      <c r="AK16" s="6"/>
      <c r="AL16" s="6"/>
      <c r="AM16" s="6"/>
      <c r="AN16" s="6"/>
    </row>
    <row r="17" spans="1:40" ht="14.25" customHeight="1" x14ac:dyDescent="0.2">
      <c r="A17" s="96"/>
      <c r="B17" s="96"/>
      <c r="C17" s="95"/>
      <c r="D17" s="93"/>
      <c r="E17" s="97"/>
      <c r="F17" s="97"/>
      <c r="G17" s="94"/>
      <c r="H17" s="94"/>
      <c r="I17" s="97"/>
      <c r="J17" s="97"/>
      <c r="K17" s="93"/>
      <c r="L17" s="93"/>
      <c r="M17" s="97"/>
      <c r="N17" s="97"/>
      <c r="O17" s="107"/>
      <c r="P17" s="107"/>
      <c r="Q17" s="97"/>
      <c r="R17" s="97"/>
      <c r="S17" s="94"/>
      <c r="T17" s="94"/>
      <c r="U17" s="97"/>
      <c r="V17" s="97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6"/>
      <c r="AH17" s="6"/>
      <c r="AI17" s="6"/>
      <c r="AJ17" s="6"/>
      <c r="AK17" s="6"/>
      <c r="AL17" s="6"/>
      <c r="AM17" s="6"/>
      <c r="AN17" s="6"/>
    </row>
    <row r="18" spans="1:40" ht="14.25" customHeight="1" x14ac:dyDescent="0.2">
      <c r="A18" s="96"/>
      <c r="B18" s="96"/>
      <c r="C18" s="95"/>
      <c r="D18" s="93"/>
      <c r="E18" s="97"/>
      <c r="F18" s="97"/>
      <c r="G18" s="95"/>
      <c r="H18" s="93"/>
      <c r="I18" s="97"/>
      <c r="J18" s="97"/>
      <c r="K18" s="94"/>
      <c r="L18" s="94"/>
      <c r="M18" s="97"/>
      <c r="N18" s="97"/>
      <c r="O18" s="107"/>
      <c r="P18" s="107"/>
      <c r="Q18" s="97"/>
      <c r="R18" s="97"/>
      <c r="S18" s="107"/>
      <c r="T18" s="107"/>
      <c r="U18" s="97"/>
      <c r="V18" s="97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6"/>
      <c r="AH18" s="6"/>
      <c r="AI18" s="6"/>
      <c r="AJ18" s="6"/>
      <c r="AK18" s="6"/>
      <c r="AL18" s="6"/>
      <c r="AM18" s="6"/>
      <c r="AN18" s="6"/>
    </row>
    <row r="19" spans="1:40" ht="14.25" customHeight="1" x14ac:dyDescent="0.2">
      <c r="A19" s="96"/>
      <c r="B19" s="96"/>
      <c r="C19" s="94"/>
      <c r="D19" s="94"/>
      <c r="E19" s="97"/>
      <c r="F19" s="97"/>
      <c r="G19" s="95"/>
      <c r="H19" s="93"/>
      <c r="I19" s="97"/>
      <c r="J19" s="97"/>
      <c r="K19" s="107"/>
      <c r="L19" s="107"/>
      <c r="M19" s="97"/>
      <c r="N19" s="97"/>
      <c r="O19" s="107"/>
      <c r="P19" s="107"/>
      <c r="Q19" s="97"/>
      <c r="R19" s="97"/>
      <c r="S19" s="94"/>
      <c r="T19" s="94"/>
      <c r="U19" s="97"/>
      <c r="V19" s="97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6"/>
      <c r="AH19" s="6"/>
      <c r="AI19" s="6"/>
      <c r="AJ19" s="6"/>
      <c r="AK19" s="6"/>
      <c r="AL19" s="6"/>
      <c r="AM19" s="6"/>
      <c r="AN19" s="6"/>
    </row>
    <row r="20" spans="1:40" ht="14.25" customHeight="1" x14ac:dyDescent="0.2">
      <c r="A20" s="96"/>
      <c r="B20" s="96"/>
      <c r="C20" s="95"/>
      <c r="D20" s="93"/>
      <c r="E20" s="97"/>
      <c r="F20" s="97"/>
      <c r="G20" s="95"/>
      <c r="H20" s="93"/>
      <c r="I20" s="97"/>
      <c r="J20" s="97"/>
      <c r="K20" s="93"/>
      <c r="L20" s="93"/>
      <c r="M20" s="97"/>
      <c r="N20" s="97"/>
      <c r="O20" s="93"/>
      <c r="P20" s="107"/>
      <c r="Q20" s="97"/>
      <c r="R20" s="97"/>
      <c r="S20" s="107"/>
      <c r="T20" s="107"/>
      <c r="U20" s="97"/>
      <c r="V20" s="97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6"/>
      <c r="AH20" s="6"/>
      <c r="AI20" s="6"/>
      <c r="AJ20" s="6"/>
      <c r="AK20" s="6"/>
      <c r="AL20" s="6"/>
      <c r="AM20" s="6"/>
      <c r="AN20" s="6"/>
    </row>
    <row r="21" spans="1:40" ht="15.75" customHeight="1" x14ac:dyDescent="0.2">
      <c r="A21" s="96"/>
      <c r="B21" s="96"/>
      <c r="C21" s="94"/>
      <c r="D21" s="94"/>
      <c r="E21" s="97"/>
      <c r="F21" s="97"/>
      <c r="G21" s="95"/>
      <c r="H21" s="93"/>
      <c r="I21" s="97"/>
      <c r="J21" s="97"/>
      <c r="K21" s="93"/>
      <c r="L21" s="93"/>
      <c r="M21" s="97"/>
      <c r="N21" s="97"/>
      <c r="O21" s="94"/>
      <c r="P21" s="94"/>
      <c r="Q21" s="97"/>
      <c r="R21" s="97"/>
      <c r="S21" s="107"/>
      <c r="T21" s="107"/>
      <c r="U21" s="97"/>
      <c r="V21" s="97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6"/>
      <c r="AH21" s="6"/>
      <c r="AI21" s="6"/>
      <c r="AJ21" s="6"/>
      <c r="AK21" s="6"/>
      <c r="AL21" s="6"/>
      <c r="AM21" s="6"/>
      <c r="AN21" s="6"/>
    </row>
    <row r="22" spans="1:40" ht="15.75" customHeight="1" x14ac:dyDescent="0.2">
      <c r="A22" s="96"/>
      <c r="B22" s="96"/>
      <c r="C22" s="95"/>
      <c r="D22" s="93"/>
      <c r="E22" s="97"/>
      <c r="F22" s="97"/>
      <c r="G22" s="94"/>
      <c r="H22" s="94"/>
      <c r="I22" s="97"/>
      <c r="J22" s="97"/>
      <c r="K22" s="93"/>
      <c r="L22" s="93"/>
      <c r="M22" s="97"/>
      <c r="N22" s="97"/>
      <c r="O22" s="107"/>
      <c r="P22" s="107"/>
      <c r="Q22" s="97"/>
      <c r="R22" s="97"/>
      <c r="S22" s="93"/>
      <c r="T22" s="107"/>
      <c r="U22" s="97"/>
      <c r="V22" s="97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6"/>
      <c r="AH22" s="6"/>
      <c r="AI22" s="6"/>
      <c r="AJ22" s="6"/>
      <c r="AK22" s="6"/>
      <c r="AL22" s="6"/>
      <c r="AM22" s="6"/>
      <c r="AN22" s="6"/>
    </row>
    <row r="23" spans="1:40" ht="15.75" customHeight="1" x14ac:dyDescent="0.2">
      <c r="A23" s="96"/>
      <c r="B23" s="96"/>
      <c r="C23" s="95"/>
      <c r="D23" s="93"/>
      <c r="E23" s="97"/>
      <c r="F23" s="97"/>
      <c r="G23" s="95"/>
      <c r="H23" s="93"/>
      <c r="I23" s="97"/>
      <c r="J23" s="97"/>
      <c r="K23" s="94"/>
      <c r="L23" s="94"/>
      <c r="M23" s="97"/>
      <c r="N23" s="97"/>
      <c r="O23" s="94"/>
      <c r="P23" s="94"/>
      <c r="Q23" s="97"/>
      <c r="R23" s="97"/>
      <c r="S23" s="107"/>
      <c r="T23" s="107"/>
      <c r="U23" s="97"/>
      <c r="V23" s="97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6"/>
      <c r="AH23" s="6"/>
      <c r="AI23" s="6"/>
      <c r="AJ23" s="6"/>
      <c r="AK23" s="6"/>
      <c r="AL23" s="6"/>
      <c r="AM23" s="6"/>
      <c r="AN23" s="6"/>
    </row>
    <row r="24" spans="1:40" ht="15.75" customHeight="1" x14ac:dyDescent="0.2">
      <c r="A24" s="96"/>
      <c r="B24" s="96"/>
      <c r="C24" s="111"/>
      <c r="D24" s="111"/>
      <c r="E24" s="97"/>
      <c r="F24" s="97"/>
      <c r="G24" s="108"/>
      <c r="H24" s="108"/>
      <c r="I24" s="97"/>
      <c r="J24" s="97"/>
      <c r="K24" s="109"/>
      <c r="L24" s="109"/>
      <c r="M24" s="97"/>
      <c r="N24" s="97"/>
      <c r="O24" s="110"/>
      <c r="P24" s="110"/>
      <c r="Q24" s="97"/>
      <c r="R24" s="97"/>
      <c r="S24" s="111"/>
      <c r="T24" s="111"/>
      <c r="U24" s="97"/>
      <c r="V24" s="97"/>
      <c r="W24" s="24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</row>
    <row r="25" spans="1:40" ht="15.75" customHeight="1" x14ac:dyDescent="0.2">
      <c r="A25" s="43"/>
      <c r="B25" s="4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</row>
    <row r="26" spans="1:40" ht="14.25" customHeight="1" x14ac:dyDescent="0.2">
      <c r="A26" s="172" t="s">
        <v>70</v>
      </c>
      <c r="B26" s="123"/>
      <c r="C26" s="173">
        <f>COUNT(C9:C24)</f>
        <v>0</v>
      </c>
      <c r="D26" s="122"/>
      <c r="E26" s="122"/>
      <c r="F26" s="123"/>
      <c r="G26" s="173">
        <f>COUNT(G9:G24)</f>
        <v>0</v>
      </c>
      <c r="H26" s="122"/>
      <c r="I26" s="122"/>
      <c r="J26" s="123"/>
      <c r="K26" s="173">
        <f>COUNT(K9:K24)</f>
        <v>0</v>
      </c>
      <c r="L26" s="122"/>
      <c r="M26" s="122"/>
      <c r="N26" s="123"/>
      <c r="O26" s="173">
        <f>COUNT(O9:O24)</f>
        <v>0</v>
      </c>
      <c r="P26" s="122"/>
      <c r="Q26" s="122"/>
      <c r="R26" s="123"/>
      <c r="S26" s="173">
        <f>COUNT(S9:S24)</f>
        <v>0</v>
      </c>
      <c r="T26" s="122"/>
      <c r="U26" s="122"/>
      <c r="V26" s="123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</row>
    <row r="27" spans="1:40" ht="15.75" customHeight="1" x14ac:dyDescent="0.2">
      <c r="A27" s="172" t="s">
        <v>30</v>
      </c>
      <c r="B27" s="123"/>
      <c r="C27" s="171">
        <f>COUNTIF(C9:C23,"Absent")</f>
        <v>0</v>
      </c>
      <c r="D27" s="122"/>
      <c r="E27" s="122"/>
      <c r="F27" s="123"/>
      <c r="G27" s="171">
        <f>COUNTIF(G9:G23,"Absent")</f>
        <v>0</v>
      </c>
      <c r="H27" s="122"/>
      <c r="I27" s="122"/>
      <c r="J27" s="123"/>
      <c r="K27" s="171">
        <f>COUNTIF(K9:K23,"Absent")</f>
        <v>0</v>
      </c>
      <c r="L27" s="122"/>
      <c r="M27" s="122"/>
      <c r="N27" s="123"/>
      <c r="O27" s="171">
        <f>COUNTIF(O9:O23,"Absent")</f>
        <v>0</v>
      </c>
      <c r="P27" s="122"/>
      <c r="Q27" s="122"/>
      <c r="R27" s="123"/>
      <c r="S27" s="171">
        <f>COUNTIF(S9:S23,"Absent")</f>
        <v>0</v>
      </c>
      <c r="T27" s="122"/>
      <c r="U27" s="122"/>
      <c r="V27" s="123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</row>
    <row r="28" spans="1:40" ht="15.75" customHeight="1" x14ac:dyDescent="0.2">
      <c r="A28" s="170" t="s">
        <v>24</v>
      </c>
      <c r="B28" s="123"/>
      <c r="C28" s="171">
        <f>COUNTIF(C9:C23,"Leave")+COUNTIF(C9:C23,"VL")</f>
        <v>0</v>
      </c>
      <c r="D28" s="122"/>
      <c r="E28" s="122"/>
      <c r="F28" s="123"/>
      <c r="G28" s="171">
        <f>COUNTIF(G9:G23,"Leave")+COUNTIF(G9:G23,"VL")</f>
        <v>0</v>
      </c>
      <c r="H28" s="122"/>
      <c r="I28" s="122"/>
      <c r="J28" s="123"/>
      <c r="K28" s="171">
        <f>COUNTIF(K9:K23,"Leave")+COUNTIF(K9:K23,"VL")</f>
        <v>0</v>
      </c>
      <c r="L28" s="122"/>
      <c r="M28" s="122"/>
      <c r="N28" s="123"/>
      <c r="O28" s="171">
        <f>COUNTIF(O9:O23,"Leave")+COUNTIF(O9:O23,"VL")</f>
        <v>0</v>
      </c>
      <c r="P28" s="122"/>
      <c r="Q28" s="122"/>
      <c r="R28" s="123"/>
      <c r="S28" s="171">
        <f>COUNTIF(S9:S23,"Leave")+COUNTIF(S9:S23,"VL")</f>
        <v>0</v>
      </c>
      <c r="T28" s="122"/>
      <c r="U28" s="122"/>
      <c r="V28" s="123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</row>
    <row r="29" spans="1:40" ht="15.75" customHeight="1" x14ac:dyDescent="0.2">
      <c r="A29" s="170" t="s">
        <v>26</v>
      </c>
      <c r="B29" s="123"/>
      <c r="C29" s="174">
        <f>COUNTIF(C9:C23,"SL")</f>
        <v>0</v>
      </c>
      <c r="D29" s="122"/>
      <c r="E29" s="122"/>
      <c r="F29" s="123"/>
      <c r="G29" s="174">
        <f>COUNTIF(G9:G23,"SL")</f>
        <v>0</v>
      </c>
      <c r="H29" s="122"/>
      <c r="I29" s="122"/>
      <c r="J29" s="123"/>
      <c r="K29" s="174">
        <f>COUNTIF(K9:K23,"SL")</f>
        <v>0</v>
      </c>
      <c r="L29" s="122"/>
      <c r="M29" s="122"/>
      <c r="N29" s="123"/>
      <c r="O29" s="174">
        <f>COUNTIF(O9:O23,"SL")</f>
        <v>0</v>
      </c>
      <c r="P29" s="122"/>
      <c r="Q29" s="122"/>
      <c r="R29" s="123"/>
      <c r="S29" s="174">
        <f>COUNTIF(S9:S23,"SL")</f>
        <v>0</v>
      </c>
      <c r="T29" s="122"/>
      <c r="U29" s="122"/>
      <c r="V29" s="123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</row>
    <row r="30" spans="1:40" ht="15.75" customHeight="1" x14ac:dyDescent="0.2">
      <c r="A30" s="170" t="s">
        <v>76</v>
      </c>
      <c r="B30" s="123"/>
      <c r="C30" s="171">
        <f>COUNTIF(C9:C23,"ML")</f>
        <v>0</v>
      </c>
      <c r="D30" s="122"/>
      <c r="E30" s="122"/>
      <c r="F30" s="123"/>
      <c r="G30" s="171">
        <f>COUNTIF(G9:G23,"ML")</f>
        <v>0</v>
      </c>
      <c r="H30" s="122"/>
      <c r="I30" s="122"/>
      <c r="J30" s="123"/>
      <c r="K30" s="171">
        <f>COUNTIF(K9:K23,"ML")</f>
        <v>0</v>
      </c>
      <c r="L30" s="122"/>
      <c r="M30" s="122"/>
      <c r="N30" s="123"/>
      <c r="O30" s="171">
        <f>COUNTIF(O9:O23,"ML")</f>
        <v>0</v>
      </c>
      <c r="P30" s="122"/>
      <c r="Q30" s="122"/>
      <c r="R30" s="123"/>
      <c r="S30" s="171">
        <f>COUNTIF(S9:S23,"ML")</f>
        <v>0</v>
      </c>
      <c r="T30" s="122"/>
      <c r="U30" s="122"/>
      <c r="V30" s="123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</row>
    <row r="31" spans="1:40" ht="15.75" customHeight="1" x14ac:dyDescent="0.25">
      <c r="A31" s="2"/>
      <c r="B31" s="2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</row>
    <row r="32" spans="1:40" ht="15.75" customHeight="1" x14ac:dyDescent="0.25">
      <c r="A32" s="2"/>
      <c r="B32" s="2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6"/>
      <c r="AH32" s="6"/>
      <c r="AI32" s="6"/>
      <c r="AJ32" s="6"/>
      <c r="AK32" s="6"/>
      <c r="AL32" s="6"/>
      <c r="AM32" s="6"/>
      <c r="AN32" s="6"/>
    </row>
    <row r="33" spans="1:40" ht="15.75" customHeight="1" x14ac:dyDescent="0.25">
      <c r="A33" s="2"/>
      <c r="B33" s="2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6"/>
      <c r="AH33" s="6"/>
      <c r="AI33" s="6"/>
      <c r="AJ33" s="6"/>
      <c r="AK33" s="6"/>
      <c r="AL33" s="6"/>
      <c r="AM33" s="6"/>
      <c r="AN33" s="6"/>
    </row>
    <row r="34" spans="1:40" ht="15.75" customHeight="1" x14ac:dyDescent="0.25">
      <c r="A34" s="2"/>
      <c r="B34" s="2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6"/>
      <c r="AH34" s="6"/>
      <c r="AI34" s="6"/>
      <c r="AJ34" s="6"/>
      <c r="AK34" s="6"/>
      <c r="AL34" s="6"/>
      <c r="AM34" s="6"/>
      <c r="AN34" s="6"/>
    </row>
    <row r="35" spans="1:40" ht="15.75" customHeight="1" x14ac:dyDescent="0.25">
      <c r="A35" s="2"/>
      <c r="B35" s="2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6"/>
      <c r="AH35" s="6"/>
      <c r="AI35" s="6"/>
      <c r="AJ35" s="6"/>
      <c r="AK35" s="6"/>
      <c r="AL35" s="6"/>
      <c r="AM35" s="6"/>
      <c r="AN35" s="6"/>
    </row>
    <row r="36" spans="1:40" ht="15.75" customHeight="1" x14ac:dyDescent="0.25">
      <c r="A36" s="2"/>
      <c r="B36" s="2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6"/>
      <c r="AH36" s="6"/>
      <c r="AI36" s="6"/>
      <c r="AJ36" s="6"/>
      <c r="AK36" s="6"/>
      <c r="AL36" s="6"/>
      <c r="AM36" s="6"/>
      <c r="AN36" s="6"/>
    </row>
    <row r="37" spans="1:40" ht="15.75" customHeight="1" x14ac:dyDescent="0.25">
      <c r="A37" s="2"/>
      <c r="B37" s="2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6"/>
      <c r="AH37" s="6"/>
      <c r="AI37" s="6"/>
      <c r="AJ37" s="6"/>
      <c r="AK37" s="6"/>
      <c r="AL37" s="6"/>
      <c r="AM37" s="6"/>
      <c r="AN37" s="6"/>
    </row>
    <row r="38" spans="1:40" ht="15.75" customHeight="1" x14ac:dyDescent="0.25">
      <c r="A38" s="2"/>
      <c r="B38" s="2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6"/>
      <c r="AH38" s="6"/>
      <c r="AI38" s="6"/>
      <c r="AJ38" s="6"/>
      <c r="AK38" s="6"/>
      <c r="AL38" s="6"/>
      <c r="AM38" s="6"/>
      <c r="AN38" s="6"/>
    </row>
    <row r="39" spans="1:40" ht="15.75" customHeight="1" x14ac:dyDescent="0.25">
      <c r="A39" s="2"/>
      <c r="B39" s="2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6"/>
      <c r="AH39" s="6"/>
      <c r="AI39" s="6"/>
      <c r="AJ39" s="6"/>
      <c r="AK39" s="6"/>
      <c r="AL39" s="6"/>
      <c r="AM39" s="6"/>
      <c r="AN39" s="6"/>
    </row>
    <row r="40" spans="1:40" ht="15.75" customHeight="1" x14ac:dyDescent="0.25">
      <c r="A40" s="2"/>
      <c r="B40" s="2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6"/>
      <c r="AH40" s="6"/>
      <c r="AI40" s="6"/>
      <c r="AJ40" s="6"/>
      <c r="AK40" s="6"/>
      <c r="AL40" s="6"/>
      <c r="AM40" s="6"/>
      <c r="AN40" s="6"/>
    </row>
    <row r="41" spans="1:40" ht="15.75" customHeight="1" x14ac:dyDescent="0.25">
      <c r="A41" s="2"/>
      <c r="B41" s="2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6"/>
      <c r="AH41" s="6"/>
      <c r="AI41" s="6"/>
      <c r="AJ41" s="6"/>
      <c r="AK41" s="6"/>
      <c r="AL41" s="6"/>
      <c r="AM41" s="6"/>
      <c r="AN41" s="6"/>
    </row>
    <row r="42" spans="1:40" ht="15.75" customHeight="1" x14ac:dyDescent="0.25">
      <c r="A42" s="2"/>
      <c r="B42" s="2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6"/>
      <c r="AH42" s="6"/>
      <c r="AI42" s="6"/>
      <c r="AJ42" s="6"/>
      <c r="AK42" s="6"/>
      <c r="AL42" s="6"/>
      <c r="AM42" s="6"/>
      <c r="AN42" s="6"/>
    </row>
    <row r="43" spans="1:40" ht="15.75" customHeight="1" x14ac:dyDescent="0.25">
      <c r="A43" s="2"/>
      <c r="B43" s="2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6"/>
      <c r="AH43" s="6"/>
      <c r="AI43" s="6"/>
      <c r="AJ43" s="6"/>
      <c r="AK43" s="6"/>
      <c r="AL43" s="6"/>
      <c r="AM43" s="6"/>
      <c r="AN43" s="6"/>
    </row>
    <row r="44" spans="1:40" ht="15.75" customHeight="1" x14ac:dyDescent="0.25">
      <c r="A44" s="2"/>
      <c r="B44" s="2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6"/>
      <c r="AH44" s="6"/>
      <c r="AI44" s="6"/>
      <c r="AJ44" s="6"/>
      <c r="AK44" s="6"/>
      <c r="AL44" s="6"/>
      <c r="AM44" s="6"/>
      <c r="AN44" s="6"/>
    </row>
    <row r="45" spans="1:40" ht="15.75" customHeight="1" x14ac:dyDescent="0.25">
      <c r="A45" s="2"/>
      <c r="B45" s="2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6"/>
      <c r="AH45" s="6"/>
      <c r="AI45" s="6"/>
      <c r="AJ45" s="6"/>
      <c r="AK45" s="6"/>
      <c r="AL45" s="6"/>
      <c r="AM45" s="6"/>
      <c r="AN45" s="6"/>
    </row>
    <row r="46" spans="1:40" ht="15.75" customHeight="1" x14ac:dyDescent="0.25">
      <c r="A46" s="2"/>
      <c r="B46" s="2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6"/>
      <c r="AH46" s="6"/>
      <c r="AI46" s="6"/>
      <c r="AJ46" s="6"/>
      <c r="AK46" s="6"/>
      <c r="AL46" s="6"/>
      <c r="AM46" s="6"/>
      <c r="AN46" s="6"/>
    </row>
    <row r="47" spans="1:40" ht="15.75" customHeight="1" x14ac:dyDescent="0.25">
      <c r="A47" s="2"/>
      <c r="B47" s="2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6"/>
      <c r="AH47" s="6"/>
      <c r="AI47" s="6"/>
      <c r="AJ47" s="6"/>
      <c r="AK47" s="6"/>
      <c r="AL47" s="6"/>
      <c r="AM47" s="6"/>
      <c r="AN47" s="6"/>
    </row>
    <row r="48" spans="1:40" ht="15.75" customHeight="1" x14ac:dyDescent="0.25">
      <c r="A48" s="2"/>
      <c r="B48" s="2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6"/>
      <c r="AH48" s="6"/>
      <c r="AI48" s="6"/>
      <c r="AJ48" s="6"/>
      <c r="AK48" s="6"/>
      <c r="AL48" s="6"/>
      <c r="AM48" s="6"/>
      <c r="AN48" s="6"/>
    </row>
    <row r="49" spans="1:40" ht="15.75" customHeight="1" x14ac:dyDescent="0.25">
      <c r="A49" s="2"/>
      <c r="B49" s="2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6"/>
      <c r="AH49" s="6"/>
      <c r="AI49" s="6"/>
      <c r="AJ49" s="6"/>
      <c r="AK49" s="6"/>
      <c r="AL49" s="6"/>
      <c r="AM49" s="6"/>
      <c r="AN49" s="6"/>
    </row>
    <row r="50" spans="1:40" ht="15.75" customHeight="1" x14ac:dyDescent="0.25">
      <c r="A50" s="2"/>
      <c r="B50" s="2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6"/>
      <c r="AH50" s="6"/>
      <c r="AI50" s="6"/>
      <c r="AJ50" s="6"/>
      <c r="AK50" s="6"/>
      <c r="AL50" s="6"/>
      <c r="AM50" s="6"/>
      <c r="AN50" s="6"/>
    </row>
    <row r="51" spans="1:40" ht="15.75" customHeight="1" x14ac:dyDescent="0.25">
      <c r="A51" s="2"/>
      <c r="B51" s="2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6"/>
      <c r="AH51" s="6"/>
      <c r="AI51" s="6"/>
      <c r="AJ51" s="6"/>
      <c r="AK51" s="6"/>
      <c r="AL51" s="6"/>
      <c r="AM51" s="6"/>
      <c r="AN51" s="6"/>
    </row>
    <row r="52" spans="1:40" ht="15.75" customHeight="1" x14ac:dyDescent="0.25">
      <c r="A52" s="2"/>
      <c r="B52" s="2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6"/>
      <c r="AH52" s="6"/>
      <c r="AI52" s="6"/>
      <c r="AJ52" s="6"/>
      <c r="AK52" s="6"/>
      <c r="AL52" s="6"/>
      <c r="AM52" s="6"/>
      <c r="AN52" s="6"/>
    </row>
    <row r="53" spans="1:40" ht="15.75" customHeight="1" x14ac:dyDescent="0.25">
      <c r="A53" s="2"/>
      <c r="B53" s="2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6"/>
      <c r="AH53" s="6"/>
      <c r="AI53" s="6"/>
      <c r="AJ53" s="6"/>
      <c r="AK53" s="6"/>
      <c r="AL53" s="6"/>
      <c r="AM53" s="6"/>
      <c r="AN53" s="6"/>
    </row>
    <row r="54" spans="1:40" ht="15.75" customHeight="1" x14ac:dyDescent="0.25">
      <c r="A54" s="2"/>
      <c r="B54" s="2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6"/>
      <c r="AH54" s="6"/>
      <c r="AI54" s="6"/>
      <c r="AJ54" s="6"/>
      <c r="AK54" s="6"/>
      <c r="AL54" s="6"/>
      <c r="AM54" s="6"/>
      <c r="AN54" s="6"/>
    </row>
    <row r="55" spans="1:40" ht="15.75" customHeight="1" x14ac:dyDescent="0.25">
      <c r="A55" s="2"/>
      <c r="B55" s="2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6"/>
      <c r="AH55" s="6"/>
      <c r="AI55" s="6"/>
      <c r="AJ55" s="6"/>
      <c r="AK55" s="6"/>
      <c r="AL55" s="6"/>
      <c r="AM55" s="6"/>
      <c r="AN55" s="6"/>
    </row>
    <row r="56" spans="1:40" ht="15.75" customHeight="1" x14ac:dyDescent="0.25">
      <c r="A56" s="2"/>
      <c r="B56" s="2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6"/>
      <c r="AH56" s="6"/>
      <c r="AI56" s="6"/>
      <c r="AJ56" s="6"/>
      <c r="AK56" s="6"/>
      <c r="AL56" s="6"/>
      <c r="AM56" s="6"/>
      <c r="AN56" s="6"/>
    </row>
    <row r="57" spans="1:40" ht="15.75" customHeight="1" x14ac:dyDescent="0.25">
      <c r="A57" s="2"/>
      <c r="B57" s="2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6"/>
      <c r="AH57" s="6"/>
      <c r="AI57" s="6"/>
      <c r="AJ57" s="6"/>
      <c r="AK57" s="6"/>
      <c r="AL57" s="6"/>
      <c r="AM57" s="6"/>
      <c r="AN57" s="6"/>
    </row>
    <row r="58" spans="1:40" ht="15.75" customHeight="1" x14ac:dyDescent="0.25">
      <c r="A58" s="2"/>
      <c r="B58" s="2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6"/>
      <c r="AH58" s="6"/>
      <c r="AI58" s="6"/>
      <c r="AJ58" s="6"/>
      <c r="AK58" s="6"/>
      <c r="AL58" s="6"/>
      <c r="AM58" s="6"/>
      <c r="AN58" s="6"/>
    </row>
    <row r="59" spans="1:40" ht="15.75" customHeight="1" x14ac:dyDescent="0.25">
      <c r="A59" s="2"/>
      <c r="B59" s="2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6"/>
      <c r="AH59" s="6"/>
      <c r="AI59" s="6"/>
      <c r="AJ59" s="6"/>
      <c r="AK59" s="6"/>
      <c r="AL59" s="6"/>
      <c r="AM59" s="6"/>
      <c r="AN59" s="6"/>
    </row>
    <row r="60" spans="1:40" ht="15.75" customHeight="1" x14ac:dyDescent="0.25">
      <c r="A60" s="2"/>
      <c r="B60" s="2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6"/>
      <c r="AH60" s="6"/>
      <c r="AI60" s="6"/>
      <c r="AJ60" s="6"/>
      <c r="AK60" s="6"/>
      <c r="AL60" s="6"/>
      <c r="AM60" s="6"/>
      <c r="AN60" s="6"/>
    </row>
    <row r="61" spans="1:40" ht="15.75" customHeight="1" x14ac:dyDescent="0.25">
      <c r="A61" s="2"/>
      <c r="B61" s="2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6"/>
      <c r="AH61" s="6"/>
      <c r="AI61" s="6"/>
      <c r="AJ61" s="6"/>
      <c r="AK61" s="6"/>
      <c r="AL61" s="6"/>
      <c r="AM61" s="6"/>
      <c r="AN61" s="6"/>
    </row>
    <row r="62" spans="1:40" ht="15.75" customHeight="1" x14ac:dyDescent="0.25">
      <c r="A62" s="2"/>
      <c r="B62" s="2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6"/>
      <c r="AH62" s="6"/>
      <c r="AI62" s="6"/>
      <c r="AJ62" s="6"/>
      <c r="AK62" s="6"/>
      <c r="AL62" s="6"/>
      <c r="AM62" s="6"/>
      <c r="AN62" s="6"/>
    </row>
    <row r="63" spans="1:40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6"/>
      <c r="AH63" s="6"/>
      <c r="AI63" s="6"/>
      <c r="AJ63" s="6"/>
      <c r="AK63" s="6"/>
      <c r="AL63" s="6"/>
      <c r="AM63" s="6"/>
      <c r="AN63" s="6"/>
    </row>
    <row r="64" spans="1:40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6"/>
      <c r="AH64" s="6"/>
      <c r="AI64" s="6"/>
      <c r="AJ64" s="6"/>
      <c r="AK64" s="6"/>
      <c r="AL64" s="6"/>
      <c r="AM64" s="6"/>
      <c r="AN64" s="6"/>
    </row>
    <row r="65" spans="1:40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6"/>
      <c r="AH65" s="6"/>
      <c r="AI65" s="6"/>
      <c r="AJ65" s="6"/>
      <c r="AK65" s="6"/>
      <c r="AL65" s="6"/>
      <c r="AM65" s="6"/>
      <c r="AN65" s="6"/>
    </row>
    <row r="66" spans="1:40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6"/>
      <c r="AH66" s="6"/>
      <c r="AI66" s="6"/>
      <c r="AJ66" s="6"/>
      <c r="AK66" s="6"/>
      <c r="AL66" s="6"/>
      <c r="AM66" s="6"/>
      <c r="AN66" s="6"/>
    </row>
    <row r="67" spans="1:40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6"/>
      <c r="AH67" s="6"/>
      <c r="AI67" s="6"/>
      <c r="AJ67" s="6"/>
      <c r="AK67" s="6"/>
      <c r="AL67" s="6"/>
      <c r="AM67" s="6"/>
      <c r="AN67" s="6"/>
    </row>
    <row r="68" spans="1:40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6"/>
      <c r="AH68" s="6"/>
      <c r="AI68" s="6"/>
      <c r="AJ68" s="6"/>
      <c r="AK68" s="6"/>
      <c r="AL68" s="6"/>
      <c r="AM68" s="6"/>
      <c r="AN68" s="6"/>
    </row>
    <row r="69" spans="1:40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6"/>
      <c r="AH69" s="6"/>
      <c r="AI69" s="6"/>
      <c r="AJ69" s="6"/>
      <c r="AK69" s="6"/>
      <c r="AL69" s="6"/>
      <c r="AM69" s="6"/>
      <c r="AN69" s="6"/>
    </row>
    <row r="70" spans="1:40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6"/>
      <c r="AH70" s="6"/>
      <c r="AI70" s="6"/>
      <c r="AJ70" s="6"/>
      <c r="AK70" s="6"/>
      <c r="AL70" s="6"/>
      <c r="AM70" s="6"/>
      <c r="AN70" s="6"/>
    </row>
    <row r="71" spans="1:40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6"/>
      <c r="AH71" s="6"/>
      <c r="AI71" s="6"/>
      <c r="AJ71" s="6"/>
      <c r="AK71" s="6"/>
      <c r="AL71" s="6"/>
      <c r="AM71" s="6"/>
      <c r="AN71" s="6"/>
    </row>
    <row r="72" spans="1:40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6"/>
      <c r="AH72" s="6"/>
      <c r="AI72" s="6"/>
      <c r="AJ72" s="6"/>
      <c r="AK72" s="6"/>
      <c r="AL72" s="6"/>
      <c r="AM72" s="6"/>
      <c r="AN72" s="6"/>
    </row>
    <row r="73" spans="1:40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6"/>
      <c r="AH73" s="6"/>
      <c r="AI73" s="6"/>
      <c r="AJ73" s="6"/>
      <c r="AK73" s="6"/>
      <c r="AL73" s="6"/>
      <c r="AM73" s="6"/>
      <c r="AN73" s="6"/>
    </row>
    <row r="74" spans="1:40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6"/>
      <c r="AH74" s="6"/>
      <c r="AI74" s="6"/>
      <c r="AJ74" s="6"/>
      <c r="AK74" s="6"/>
      <c r="AL74" s="6"/>
      <c r="AM74" s="6"/>
      <c r="AN74" s="6"/>
    </row>
    <row r="75" spans="1:40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6"/>
      <c r="AH75" s="6"/>
      <c r="AI75" s="6"/>
      <c r="AJ75" s="6"/>
      <c r="AK75" s="6"/>
      <c r="AL75" s="6"/>
      <c r="AM75" s="6"/>
      <c r="AN75" s="6"/>
    </row>
    <row r="76" spans="1:40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6"/>
      <c r="AH76" s="6"/>
      <c r="AI76" s="6"/>
      <c r="AJ76" s="6"/>
      <c r="AK76" s="6"/>
      <c r="AL76" s="6"/>
      <c r="AM76" s="6"/>
      <c r="AN76" s="6"/>
    </row>
    <row r="77" spans="1:40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6"/>
      <c r="AH77" s="6"/>
      <c r="AI77" s="6"/>
      <c r="AJ77" s="6"/>
      <c r="AK77" s="6"/>
      <c r="AL77" s="6"/>
      <c r="AM77" s="6"/>
      <c r="AN77" s="6"/>
    </row>
    <row r="78" spans="1:40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6"/>
      <c r="AH78" s="6"/>
      <c r="AI78" s="6"/>
      <c r="AJ78" s="6"/>
      <c r="AK78" s="6"/>
      <c r="AL78" s="6"/>
      <c r="AM78" s="6"/>
      <c r="AN78" s="6"/>
    </row>
    <row r="79" spans="1:40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6"/>
      <c r="AH79" s="6"/>
      <c r="AI79" s="6"/>
      <c r="AJ79" s="6"/>
      <c r="AK79" s="6"/>
      <c r="AL79" s="6"/>
      <c r="AM79" s="6"/>
      <c r="AN79" s="6"/>
    </row>
    <row r="80" spans="1:40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6"/>
      <c r="AH80" s="6"/>
      <c r="AI80" s="6"/>
      <c r="AJ80" s="6"/>
      <c r="AK80" s="6"/>
      <c r="AL80" s="6"/>
      <c r="AM80" s="6"/>
      <c r="AN80" s="6"/>
    </row>
    <row r="81" spans="1:40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6"/>
      <c r="AH81" s="6"/>
      <c r="AI81" s="6"/>
      <c r="AJ81" s="6"/>
      <c r="AK81" s="6"/>
      <c r="AL81" s="6"/>
      <c r="AM81" s="6"/>
      <c r="AN81" s="6"/>
    </row>
    <row r="82" spans="1:40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6"/>
      <c r="AH82" s="6"/>
      <c r="AI82" s="6"/>
      <c r="AJ82" s="6"/>
      <c r="AK82" s="6"/>
      <c r="AL82" s="6"/>
      <c r="AM82" s="6"/>
      <c r="AN82" s="6"/>
    </row>
    <row r="83" spans="1:40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6"/>
      <c r="AH83" s="6"/>
      <c r="AI83" s="6"/>
      <c r="AJ83" s="6"/>
      <c r="AK83" s="6"/>
      <c r="AL83" s="6"/>
      <c r="AM83" s="6"/>
      <c r="AN83" s="6"/>
    </row>
    <row r="84" spans="1:40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6"/>
      <c r="AH84" s="6"/>
      <c r="AI84" s="6"/>
      <c r="AJ84" s="6"/>
      <c r="AK84" s="6"/>
      <c r="AL84" s="6"/>
      <c r="AM84" s="6"/>
      <c r="AN84" s="6"/>
    </row>
    <row r="85" spans="1:40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6"/>
      <c r="AH85" s="6"/>
      <c r="AI85" s="6"/>
      <c r="AJ85" s="6"/>
      <c r="AK85" s="6"/>
      <c r="AL85" s="6"/>
      <c r="AM85" s="6"/>
      <c r="AN85" s="6"/>
    </row>
    <row r="86" spans="1:40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6"/>
      <c r="AH86" s="6"/>
      <c r="AI86" s="6"/>
      <c r="AJ86" s="6"/>
      <c r="AK86" s="6"/>
      <c r="AL86" s="6"/>
      <c r="AM86" s="6"/>
      <c r="AN86" s="6"/>
    </row>
    <row r="87" spans="1:40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6"/>
      <c r="AH87" s="6"/>
      <c r="AI87" s="6"/>
      <c r="AJ87" s="6"/>
      <c r="AK87" s="6"/>
      <c r="AL87" s="6"/>
      <c r="AM87" s="6"/>
      <c r="AN87" s="6"/>
    </row>
    <row r="88" spans="1:40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6"/>
      <c r="AH88" s="6"/>
      <c r="AI88" s="6"/>
      <c r="AJ88" s="6"/>
      <c r="AK88" s="6"/>
      <c r="AL88" s="6"/>
      <c r="AM88" s="6"/>
      <c r="AN88" s="6"/>
    </row>
    <row r="89" spans="1:40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6"/>
      <c r="AH89" s="6"/>
      <c r="AI89" s="6"/>
      <c r="AJ89" s="6"/>
      <c r="AK89" s="6"/>
      <c r="AL89" s="6"/>
      <c r="AM89" s="6"/>
      <c r="AN89" s="6"/>
    </row>
    <row r="90" spans="1:40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6"/>
      <c r="AH90" s="6"/>
      <c r="AI90" s="6"/>
      <c r="AJ90" s="6"/>
      <c r="AK90" s="6"/>
      <c r="AL90" s="6"/>
      <c r="AM90" s="6"/>
      <c r="AN90" s="6"/>
    </row>
    <row r="91" spans="1:40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6"/>
      <c r="AH91" s="6"/>
      <c r="AI91" s="6"/>
      <c r="AJ91" s="6"/>
      <c r="AK91" s="6"/>
      <c r="AL91" s="6"/>
      <c r="AM91" s="6"/>
      <c r="AN91" s="6"/>
    </row>
    <row r="92" spans="1:40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6"/>
      <c r="AH92" s="6"/>
      <c r="AI92" s="6"/>
      <c r="AJ92" s="6"/>
      <c r="AK92" s="6"/>
      <c r="AL92" s="6"/>
      <c r="AM92" s="6"/>
      <c r="AN92" s="6"/>
    </row>
    <row r="93" spans="1:40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6"/>
      <c r="AH93" s="6"/>
      <c r="AI93" s="6"/>
      <c r="AJ93" s="6"/>
      <c r="AK93" s="6"/>
      <c r="AL93" s="6"/>
      <c r="AM93" s="6"/>
      <c r="AN93" s="6"/>
    </row>
    <row r="94" spans="1:40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6"/>
      <c r="AH94" s="6"/>
      <c r="AI94" s="6"/>
      <c r="AJ94" s="6"/>
      <c r="AK94" s="6"/>
      <c r="AL94" s="6"/>
      <c r="AM94" s="6"/>
      <c r="AN94" s="6"/>
    </row>
    <row r="95" spans="1:40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6"/>
      <c r="AH95" s="6"/>
      <c r="AI95" s="6"/>
      <c r="AJ95" s="6"/>
      <c r="AK95" s="6"/>
      <c r="AL95" s="6"/>
      <c r="AM95" s="6"/>
      <c r="AN95" s="6"/>
    </row>
    <row r="96" spans="1:40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6"/>
      <c r="AH96" s="6"/>
      <c r="AI96" s="6"/>
      <c r="AJ96" s="6"/>
      <c r="AK96" s="6"/>
      <c r="AL96" s="6"/>
      <c r="AM96" s="6"/>
      <c r="AN96" s="6"/>
    </row>
    <row r="97" spans="1:40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6"/>
      <c r="AH97" s="6"/>
      <c r="AI97" s="6"/>
      <c r="AJ97" s="6"/>
      <c r="AK97" s="6"/>
      <c r="AL97" s="6"/>
      <c r="AM97" s="6"/>
      <c r="AN97" s="6"/>
    </row>
    <row r="98" spans="1:40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6"/>
      <c r="AH98" s="6"/>
      <c r="AI98" s="6"/>
      <c r="AJ98" s="6"/>
      <c r="AK98" s="6"/>
      <c r="AL98" s="6"/>
      <c r="AM98" s="6"/>
      <c r="AN98" s="6"/>
    </row>
    <row r="99" spans="1:40" ht="14.25" customHeight="1" x14ac:dyDescent="0.2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</row>
    <row r="100" spans="1:40" ht="14.25" customHeight="1" x14ac:dyDescent="0.2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</row>
    <row r="101" spans="1:40" ht="14.25" customHeight="1" x14ac:dyDescent="0.2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</row>
    <row r="102" spans="1:40" ht="14.25" customHeight="1" x14ac:dyDescent="0.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</row>
    <row r="103" spans="1:40" ht="14.25" customHeight="1" x14ac:dyDescent="0.2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</row>
    <row r="104" spans="1:40" ht="14.25" customHeight="1" x14ac:dyDescent="0.2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</row>
    <row r="105" spans="1:40" ht="14.25" customHeight="1" x14ac:dyDescent="0.2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</row>
    <row r="106" spans="1:40" ht="14.25" customHeight="1" x14ac:dyDescent="0.2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</row>
    <row r="107" spans="1:40" ht="14.25" customHeight="1" x14ac:dyDescent="0.2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</row>
    <row r="108" spans="1:40" ht="14.25" customHeight="1" x14ac:dyDescent="0.2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</row>
    <row r="109" spans="1:40" ht="14.25" customHeight="1" x14ac:dyDescent="0.2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</row>
    <row r="110" spans="1:40" ht="14.25" customHeight="1" x14ac:dyDescent="0.2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</row>
    <row r="111" spans="1:40" ht="14.25" customHeight="1" x14ac:dyDescent="0.2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</row>
    <row r="112" spans="1:40" ht="14.25" customHeight="1" x14ac:dyDescent="0.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</row>
    <row r="113" spans="1:40" ht="14.25" customHeight="1" x14ac:dyDescent="0.2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</row>
    <row r="114" spans="1:40" ht="14.25" customHeight="1" x14ac:dyDescent="0.2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</row>
    <row r="115" spans="1:40" ht="14.25" customHeight="1" x14ac:dyDescent="0.2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</row>
    <row r="116" spans="1:40" ht="14.25" customHeight="1" x14ac:dyDescent="0.2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</row>
    <row r="117" spans="1:40" ht="14.25" customHeight="1" x14ac:dyDescent="0.2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</row>
    <row r="118" spans="1:40" ht="14.25" customHeight="1" x14ac:dyDescent="0.2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</row>
    <row r="119" spans="1:40" ht="14.25" customHeight="1" x14ac:dyDescent="0.2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</row>
    <row r="120" spans="1:40" ht="14.25" customHeight="1" x14ac:dyDescent="0.2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</row>
    <row r="121" spans="1:40" ht="14.25" customHeight="1" x14ac:dyDescent="0.2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</row>
    <row r="122" spans="1:40" ht="14.25" customHeight="1" x14ac:dyDescent="0.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</row>
    <row r="123" spans="1:40" ht="14.25" customHeight="1" x14ac:dyDescent="0.2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</row>
    <row r="124" spans="1:40" ht="14.25" customHeight="1" x14ac:dyDescent="0.2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</row>
    <row r="125" spans="1:40" ht="14.25" customHeight="1" x14ac:dyDescent="0.2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</row>
    <row r="126" spans="1:40" ht="14.25" customHeight="1" x14ac:dyDescent="0.2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</row>
    <row r="127" spans="1:40" ht="14.25" customHeight="1" x14ac:dyDescent="0.2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</row>
    <row r="128" spans="1:40" ht="14.25" customHeight="1" x14ac:dyDescent="0.2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</row>
    <row r="129" spans="1:40" ht="14.25" customHeight="1" x14ac:dyDescent="0.2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</row>
    <row r="130" spans="1:40" ht="14.25" customHeight="1" x14ac:dyDescent="0.2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</row>
    <row r="131" spans="1:40" ht="14.25" customHeight="1" x14ac:dyDescent="0.2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</row>
    <row r="132" spans="1:40" ht="14.25" customHeight="1" x14ac:dyDescent="0.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</row>
    <row r="133" spans="1:40" ht="14.25" customHeight="1" x14ac:dyDescent="0.2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</row>
    <row r="134" spans="1:40" ht="14.25" customHeight="1" x14ac:dyDescent="0.2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</row>
    <row r="135" spans="1:40" ht="14.25" customHeight="1" x14ac:dyDescent="0.2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</row>
    <row r="136" spans="1:40" ht="14.25" customHeight="1" x14ac:dyDescent="0.2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</row>
    <row r="137" spans="1:40" ht="14.25" customHeight="1" x14ac:dyDescent="0.2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</row>
    <row r="138" spans="1:40" ht="14.25" customHeight="1" x14ac:dyDescent="0.2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</row>
    <row r="139" spans="1:40" ht="14.25" customHeight="1" x14ac:dyDescent="0.2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</row>
    <row r="140" spans="1:40" ht="14.25" customHeight="1" x14ac:dyDescent="0.2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</row>
    <row r="141" spans="1:40" ht="14.25" customHeight="1" x14ac:dyDescent="0.2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</row>
    <row r="142" spans="1:40" ht="14.25" customHeight="1" x14ac:dyDescent="0.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</row>
    <row r="143" spans="1:40" ht="14.25" customHeight="1" x14ac:dyDescent="0.2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</row>
    <row r="144" spans="1:40" ht="14.25" customHeight="1" x14ac:dyDescent="0.2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</row>
    <row r="145" spans="1:40" ht="14.25" customHeight="1" x14ac:dyDescent="0.2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</row>
    <row r="146" spans="1:40" ht="14.25" customHeight="1" x14ac:dyDescent="0.2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</row>
    <row r="147" spans="1:40" ht="14.25" customHeight="1" x14ac:dyDescent="0.2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</row>
    <row r="148" spans="1:40" ht="14.25" customHeight="1" x14ac:dyDescent="0.2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</row>
    <row r="149" spans="1:40" ht="14.25" customHeight="1" x14ac:dyDescent="0.2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</row>
    <row r="150" spans="1:40" ht="14.25" customHeight="1" x14ac:dyDescent="0.2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</row>
    <row r="151" spans="1:40" ht="14.25" customHeight="1" x14ac:dyDescent="0.2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</row>
    <row r="152" spans="1:40" ht="14.25" customHeight="1" x14ac:dyDescent="0.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</row>
    <row r="153" spans="1:40" ht="14.25" customHeight="1" x14ac:dyDescent="0.2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</row>
    <row r="154" spans="1:40" ht="14.25" customHeight="1" x14ac:dyDescent="0.2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</row>
    <row r="155" spans="1:40" ht="14.25" customHeight="1" x14ac:dyDescent="0.2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</row>
    <row r="156" spans="1:40" ht="14.25" customHeight="1" x14ac:dyDescent="0.2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</row>
    <row r="157" spans="1:40" ht="14.25" customHeight="1" x14ac:dyDescent="0.2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</row>
    <row r="158" spans="1:40" ht="14.25" customHeight="1" x14ac:dyDescent="0.2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</row>
    <row r="159" spans="1:40" ht="14.25" customHeight="1" x14ac:dyDescent="0.2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</row>
    <row r="160" spans="1:40" ht="14.25" customHeight="1" x14ac:dyDescent="0.2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</row>
    <row r="161" spans="1:40" ht="14.25" customHeight="1" x14ac:dyDescent="0.2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</row>
    <row r="162" spans="1:40" ht="14.25" customHeight="1" x14ac:dyDescent="0.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</row>
    <row r="163" spans="1:40" ht="14.25" customHeight="1" x14ac:dyDescent="0.2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</row>
    <row r="164" spans="1:40" ht="14.25" customHeight="1" x14ac:dyDescent="0.2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</row>
    <row r="165" spans="1:40" ht="14.25" customHeight="1" x14ac:dyDescent="0.2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</row>
    <row r="166" spans="1:40" ht="14.25" customHeight="1" x14ac:dyDescent="0.2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</row>
    <row r="167" spans="1:40" ht="14.25" customHeight="1" x14ac:dyDescent="0.2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</row>
    <row r="168" spans="1:40" ht="14.25" customHeight="1" x14ac:dyDescent="0.2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</row>
    <row r="169" spans="1:40" ht="14.25" customHeight="1" x14ac:dyDescent="0.2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</row>
    <row r="170" spans="1:40" ht="14.25" customHeight="1" x14ac:dyDescent="0.2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</row>
    <row r="171" spans="1:40" ht="14.25" customHeight="1" x14ac:dyDescent="0.2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</row>
    <row r="172" spans="1:40" ht="14.25" customHeight="1" x14ac:dyDescent="0.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</row>
    <row r="173" spans="1:40" ht="14.25" customHeight="1" x14ac:dyDescent="0.2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</row>
    <row r="174" spans="1:40" ht="14.25" customHeight="1" x14ac:dyDescent="0.2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</row>
    <row r="175" spans="1:40" ht="14.25" customHeight="1" x14ac:dyDescent="0.2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</row>
    <row r="176" spans="1:40" ht="14.25" customHeight="1" x14ac:dyDescent="0.2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</row>
    <row r="177" spans="1:40" ht="14.25" customHeight="1" x14ac:dyDescent="0.2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</row>
    <row r="178" spans="1:40" ht="14.25" customHeight="1" x14ac:dyDescent="0.2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</row>
    <row r="179" spans="1:40" ht="14.25" customHeight="1" x14ac:dyDescent="0.2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</row>
    <row r="180" spans="1:40" ht="14.25" customHeight="1" x14ac:dyDescent="0.2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</row>
    <row r="181" spans="1:40" ht="14.25" customHeight="1" x14ac:dyDescent="0.2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</row>
    <row r="182" spans="1:40" ht="14.25" customHeight="1" x14ac:dyDescent="0.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</row>
    <row r="183" spans="1:40" ht="14.25" customHeight="1" x14ac:dyDescent="0.2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</row>
    <row r="184" spans="1:40" ht="14.25" customHeight="1" x14ac:dyDescent="0.2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</row>
    <row r="185" spans="1:40" ht="14.25" customHeight="1" x14ac:dyDescent="0.2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</row>
    <row r="186" spans="1:40" ht="14.25" customHeight="1" x14ac:dyDescent="0.2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</row>
    <row r="187" spans="1:40" ht="14.25" customHeight="1" x14ac:dyDescent="0.2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</row>
    <row r="188" spans="1:40" ht="14.25" customHeight="1" x14ac:dyDescent="0.2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</row>
    <row r="189" spans="1:40" ht="14.25" customHeight="1" x14ac:dyDescent="0.2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</row>
    <row r="190" spans="1:40" ht="14.25" customHeight="1" x14ac:dyDescent="0.2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</row>
    <row r="191" spans="1:40" ht="14.25" customHeight="1" x14ac:dyDescent="0.2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</row>
    <row r="192" spans="1:40" ht="14.25" customHeight="1" x14ac:dyDescent="0.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</row>
    <row r="193" spans="1:40" ht="14.25" customHeight="1" x14ac:dyDescent="0.2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</row>
    <row r="194" spans="1:40" ht="14.25" customHeight="1" x14ac:dyDescent="0.2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</row>
    <row r="195" spans="1:40" ht="14.25" customHeight="1" x14ac:dyDescent="0.2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</row>
    <row r="196" spans="1:40" ht="14.25" customHeight="1" x14ac:dyDescent="0.2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</row>
    <row r="197" spans="1:40" ht="14.25" customHeight="1" x14ac:dyDescent="0.2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</row>
    <row r="198" spans="1:40" ht="14.25" customHeight="1" x14ac:dyDescent="0.2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</row>
    <row r="199" spans="1:40" ht="14.25" customHeight="1" x14ac:dyDescent="0.2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</row>
    <row r="200" spans="1:40" ht="14.25" customHeight="1" x14ac:dyDescent="0.2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</row>
    <row r="201" spans="1:40" ht="14.25" customHeight="1" x14ac:dyDescent="0.2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</row>
    <row r="202" spans="1:40" ht="14.25" customHeight="1" x14ac:dyDescent="0.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</row>
    <row r="203" spans="1:40" ht="14.25" customHeight="1" x14ac:dyDescent="0.2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</row>
    <row r="204" spans="1:40" ht="14.25" customHeight="1" x14ac:dyDescent="0.2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</row>
    <row r="205" spans="1:40" ht="14.25" customHeight="1" x14ac:dyDescent="0.2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</row>
    <row r="206" spans="1:40" ht="14.25" customHeight="1" x14ac:dyDescent="0.2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</row>
    <row r="207" spans="1:40" ht="14.25" customHeight="1" x14ac:dyDescent="0.2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</row>
    <row r="208" spans="1:40" ht="14.25" customHeight="1" x14ac:dyDescent="0.2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</row>
    <row r="209" spans="1:40" ht="14.25" customHeight="1" x14ac:dyDescent="0.2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</row>
    <row r="210" spans="1:40" ht="14.25" customHeight="1" x14ac:dyDescent="0.2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</row>
    <row r="211" spans="1:40" ht="14.25" customHeight="1" x14ac:dyDescent="0.2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</row>
    <row r="212" spans="1:40" ht="14.25" customHeight="1" x14ac:dyDescent="0.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</row>
    <row r="213" spans="1:40" ht="14.25" customHeight="1" x14ac:dyDescent="0.2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</row>
    <row r="214" spans="1:40" ht="14.25" customHeight="1" x14ac:dyDescent="0.2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</row>
    <row r="215" spans="1:40" ht="14.25" customHeight="1" x14ac:dyDescent="0.2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</row>
    <row r="216" spans="1:40" ht="14.25" customHeight="1" x14ac:dyDescent="0.2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</row>
    <row r="217" spans="1:40" ht="14.25" customHeight="1" x14ac:dyDescent="0.2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</row>
    <row r="218" spans="1:40" ht="14.25" customHeight="1" x14ac:dyDescent="0.2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</row>
    <row r="219" spans="1:40" ht="14.25" customHeight="1" x14ac:dyDescent="0.2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</row>
    <row r="220" spans="1:40" ht="14.25" customHeight="1" x14ac:dyDescent="0.2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</row>
    <row r="221" spans="1:40" ht="14.25" customHeight="1" x14ac:dyDescent="0.2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</row>
    <row r="222" spans="1:40" ht="14.25" customHeight="1" x14ac:dyDescent="0.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</row>
    <row r="223" spans="1:40" ht="14.25" customHeight="1" x14ac:dyDescent="0.2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</row>
    <row r="224" spans="1:40" ht="14.25" customHeight="1" x14ac:dyDescent="0.2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</row>
    <row r="225" spans="1:40" ht="14.25" customHeight="1" x14ac:dyDescent="0.2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</row>
    <row r="226" spans="1:40" ht="14.25" customHeight="1" x14ac:dyDescent="0.2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</row>
    <row r="227" spans="1:40" ht="14.25" customHeight="1" x14ac:dyDescent="0.2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</row>
    <row r="228" spans="1:40" ht="14.25" customHeight="1" x14ac:dyDescent="0.2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</row>
    <row r="229" spans="1:40" ht="14.25" customHeight="1" x14ac:dyDescent="0.2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</row>
    <row r="230" spans="1:40" ht="14.25" customHeight="1" x14ac:dyDescent="0.2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</row>
    <row r="231" spans="1:40" ht="14.25" customHeight="1" x14ac:dyDescent="0.2"/>
    <row r="232" spans="1:40" ht="14.25" customHeight="1" x14ac:dyDescent="0.2"/>
    <row r="233" spans="1:40" ht="14.25" customHeight="1" x14ac:dyDescent="0.2"/>
    <row r="234" spans="1:40" ht="14.25" customHeight="1" x14ac:dyDescent="0.2"/>
    <row r="235" spans="1:40" ht="14.25" customHeight="1" x14ac:dyDescent="0.2"/>
    <row r="236" spans="1:40" ht="14.25" customHeight="1" x14ac:dyDescent="0.2"/>
    <row r="237" spans="1:40" ht="14.25" customHeight="1" x14ac:dyDescent="0.2"/>
    <row r="238" spans="1:40" ht="14.25" customHeight="1" x14ac:dyDescent="0.2"/>
    <row r="239" spans="1:40" ht="14.25" customHeight="1" x14ac:dyDescent="0.2"/>
    <row r="240" spans="1: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45">
    <mergeCell ref="Y7:Z7"/>
    <mergeCell ref="AA7:AB7"/>
    <mergeCell ref="AC7:AD7"/>
    <mergeCell ref="A7:B7"/>
    <mergeCell ref="C7:D7"/>
    <mergeCell ref="E7:F7"/>
    <mergeCell ref="G7:H7"/>
    <mergeCell ref="I7:J7"/>
    <mergeCell ref="K7:L7"/>
    <mergeCell ref="M7:N7"/>
    <mergeCell ref="O7:P7"/>
    <mergeCell ref="Q7:R7"/>
    <mergeCell ref="S7:T7"/>
    <mergeCell ref="U7:V7"/>
    <mergeCell ref="W7:X7"/>
    <mergeCell ref="S26:V26"/>
    <mergeCell ref="A27:B27"/>
    <mergeCell ref="S27:V27"/>
    <mergeCell ref="A29:B29"/>
    <mergeCell ref="K27:N27"/>
    <mergeCell ref="O27:R27"/>
    <mergeCell ref="K28:N28"/>
    <mergeCell ref="O28:R28"/>
    <mergeCell ref="S28:V28"/>
    <mergeCell ref="A26:B26"/>
    <mergeCell ref="C26:F26"/>
    <mergeCell ref="G26:J26"/>
    <mergeCell ref="K26:N26"/>
    <mergeCell ref="O26:R26"/>
    <mergeCell ref="S30:V30"/>
    <mergeCell ref="C27:F27"/>
    <mergeCell ref="G27:J27"/>
    <mergeCell ref="A28:B28"/>
    <mergeCell ref="C28:F28"/>
    <mergeCell ref="G28:J28"/>
    <mergeCell ref="C29:F29"/>
    <mergeCell ref="G29:J29"/>
    <mergeCell ref="A30:B30"/>
    <mergeCell ref="C30:F30"/>
    <mergeCell ref="G30:J30"/>
    <mergeCell ref="K30:N30"/>
    <mergeCell ref="O30:R30"/>
    <mergeCell ref="K29:N29"/>
    <mergeCell ref="O29:R29"/>
    <mergeCell ref="S29:V29"/>
  </mergeCells>
  <pageMargins left="0.7" right="0.7" top="1.9312499999999999" bottom="1.9312499999999999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R1000"/>
  <sheetViews>
    <sheetView workbookViewId="0">
      <pane xSplit="2" topLeftCell="K1" activePane="topRight" state="frozen"/>
      <selection pane="topRight" activeCell="A9" sqref="A9:B24"/>
    </sheetView>
  </sheetViews>
  <sheetFormatPr defaultColWidth="12.625" defaultRowHeight="15" customHeight="1" x14ac:dyDescent="0.2"/>
  <cols>
    <col min="1" max="1" width="9.875" customWidth="1"/>
    <col min="2" max="2" width="12.125" customWidth="1"/>
    <col min="3" max="3" width="9.75" customWidth="1"/>
    <col min="4" max="4" width="9.625" customWidth="1"/>
    <col min="5" max="6" width="14.25" customWidth="1"/>
    <col min="7" max="7" width="9.5" customWidth="1"/>
    <col min="8" max="8" width="9.125" customWidth="1"/>
    <col min="9" max="10" width="14.25" customWidth="1"/>
    <col min="11" max="11" width="9.375" customWidth="1"/>
    <col min="12" max="12" width="9.75" customWidth="1"/>
    <col min="13" max="14" width="14.25" customWidth="1"/>
    <col min="15" max="15" width="10.125" customWidth="1"/>
    <col min="16" max="16" width="8.375" customWidth="1"/>
    <col min="17" max="18" width="14.25" customWidth="1"/>
    <col min="19" max="19" width="10" customWidth="1"/>
    <col min="20" max="20" width="10.375" customWidth="1"/>
    <col min="21" max="22" width="14.25" customWidth="1"/>
    <col min="23" max="23" width="9.75" customWidth="1"/>
    <col min="24" max="24" width="10.625" customWidth="1"/>
    <col min="25" max="26" width="14.25" customWidth="1"/>
    <col min="27" max="32" width="8.375" customWidth="1"/>
    <col min="33" max="44" width="13.875" customWidth="1"/>
  </cols>
  <sheetData>
    <row r="1" spans="1:44" ht="14.25" customHeight="1" x14ac:dyDescent="0.25">
      <c r="A1" s="1" t="s">
        <v>1</v>
      </c>
      <c r="B1" s="2"/>
      <c r="C1" s="3" t="s">
        <v>163</v>
      </c>
      <c r="D1" s="5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</row>
    <row r="2" spans="1:44" ht="14.25" customHeight="1" x14ac:dyDescent="0.25">
      <c r="A2" s="7" t="s">
        <v>7</v>
      </c>
      <c r="B2" s="2"/>
      <c r="C2" s="3" t="s">
        <v>8</v>
      </c>
      <c r="D2" s="8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</row>
    <row r="3" spans="1:44" ht="14.25" customHeight="1" x14ac:dyDescent="0.25">
      <c r="A3" s="7" t="s">
        <v>10</v>
      </c>
      <c r="B3" s="2"/>
      <c r="C3" s="10" t="s">
        <v>164</v>
      </c>
      <c r="D3" s="8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</row>
    <row r="4" spans="1:44" ht="14.25" customHeight="1" x14ac:dyDescent="0.25">
      <c r="A4" s="7" t="s">
        <v>14</v>
      </c>
      <c r="B4" s="2"/>
      <c r="C4" s="16" t="str">
        <f>CLEAN('SUMMARY_-_GCM'!D5)</f>
        <v>October 1-15, 2026</v>
      </c>
      <c r="D4" s="8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</row>
    <row r="5" spans="1:44" ht="14.25" customHeight="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</row>
    <row r="6" spans="1:44" ht="14.25" customHeight="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</row>
    <row r="7" spans="1:44" ht="15" customHeight="1" x14ac:dyDescent="0.25">
      <c r="A7" s="129" t="s">
        <v>25</v>
      </c>
      <c r="B7" s="123"/>
      <c r="C7" s="129" t="s">
        <v>61</v>
      </c>
      <c r="D7" s="123"/>
      <c r="E7" s="127" t="s">
        <v>29</v>
      </c>
      <c r="F7" s="128"/>
      <c r="G7" s="129" t="s">
        <v>121</v>
      </c>
      <c r="H7" s="123"/>
      <c r="I7" s="127" t="s">
        <v>29</v>
      </c>
      <c r="J7" s="128"/>
      <c r="K7" s="129" t="s">
        <v>81</v>
      </c>
      <c r="L7" s="123"/>
      <c r="M7" s="127" t="s">
        <v>29</v>
      </c>
      <c r="N7" s="128"/>
      <c r="O7" s="129" t="s">
        <v>101</v>
      </c>
      <c r="P7" s="123"/>
      <c r="Q7" s="127" t="s">
        <v>29</v>
      </c>
      <c r="R7" s="128"/>
      <c r="S7" s="129" t="s">
        <v>122</v>
      </c>
      <c r="T7" s="123"/>
      <c r="U7" s="127" t="s">
        <v>29</v>
      </c>
      <c r="V7" s="128"/>
      <c r="W7" s="129" t="s">
        <v>100</v>
      </c>
      <c r="X7" s="123"/>
      <c r="Y7" s="127" t="s">
        <v>29</v>
      </c>
      <c r="Z7" s="128"/>
      <c r="AA7" s="175"/>
      <c r="AB7" s="149"/>
      <c r="AC7" s="175"/>
      <c r="AD7" s="149"/>
      <c r="AE7" s="2"/>
      <c r="AF7" s="2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</row>
    <row r="8" spans="1:44" ht="15" customHeight="1" x14ac:dyDescent="0.25">
      <c r="A8" s="31" t="str">
        <f>CLEAN(BUUG!A8)</f>
        <v>#</v>
      </c>
      <c r="B8" s="31" t="s">
        <v>34</v>
      </c>
      <c r="C8" s="21" t="s">
        <v>35</v>
      </c>
      <c r="D8" s="21" t="s">
        <v>36</v>
      </c>
      <c r="E8" s="22" t="s">
        <v>35</v>
      </c>
      <c r="F8" s="22" t="s">
        <v>36</v>
      </c>
      <c r="G8" s="21" t="s">
        <v>35</v>
      </c>
      <c r="H8" s="21" t="s">
        <v>36</v>
      </c>
      <c r="I8" s="22" t="s">
        <v>35</v>
      </c>
      <c r="J8" s="22" t="s">
        <v>36</v>
      </c>
      <c r="K8" s="21" t="s">
        <v>35</v>
      </c>
      <c r="L8" s="21" t="s">
        <v>36</v>
      </c>
      <c r="M8" s="22" t="s">
        <v>35</v>
      </c>
      <c r="N8" s="22" t="s">
        <v>36</v>
      </c>
      <c r="O8" s="21" t="s">
        <v>35</v>
      </c>
      <c r="P8" s="21" t="s">
        <v>36</v>
      </c>
      <c r="Q8" s="22" t="s">
        <v>35</v>
      </c>
      <c r="R8" s="22" t="s">
        <v>36</v>
      </c>
      <c r="S8" s="21" t="s">
        <v>35</v>
      </c>
      <c r="T8" s="21" t="s">
        <v>36</v>
      </c>
      <c r="U8" s="22" t="s">
        <v>35</v>
      </c>
      <c r="V8" s="22" t="s">
        <v>36</v>
      </c>
      <c r="W8" s="21" t="s">
        <v>35</v>
      </c>
      <c r="X8" s="21" t="s">
        <v>36</v>
      </c>
      <c r="Y8" s="22" t="s">
        <v>35</v>
      </c>
      <c r="Z8" s="22" t="s">
        <v>36</v>
      </c>
      <c r="AA8" s="19"/>
      <c r="AB8" s="19"/>
      <c r="AC8" s="19"/>
      <c r="AD8" s="19"/>
      <c r="AE8" s="2"/>
      <c r="AF8" s="2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</row>
    <row r="9" spans="1:44" ht="14.25" customHeight="1" x14ac:dyDescent="0.2">
      <c r="A9" s="96"/>
      <c r="B9" s="96"/>
      <c r="C9" s="90"/>
      <c r="D9" s="90"/>
      <c r="E9" s="97"/>
      <c r="F9" s="97"/>
      <c r="G9" s="91"/>
      <c r="H9" s="91"/>
      <c r="I9" s="97"/>
      <c r="J9" s="97"/>
      <c r="K9" s="90"/>
      <c r="L9" s="90"/>
      <c r="M9" s="97"/>
      <c r="N9" s="97"/>
      <c r="O9" s="91"/>
      <c r="P9" s="91"/>
      <c r="Q9" s="97"/>
      <c r="R9" s="97"/>
      <c r="S9" s="91"/>
      <c r="T9" s="91"/>
      <c r="U9" s="97"/>
      <c r="V9" s="97"/>
      <c r="W9" s="91"/>
      <c r="X9" s="91"/>
      <c r="Y9" s="97"/>
      <c r="Z9" s="97"/>
      <c r="AA9" s="24"/>
      <c r="AB9" s="24"/>
      <c r="AC9" s="24"/>
      <c r="AD9" s="24"/>
      <c r="AE9" s="24"/>
      <c r="AF9" s="24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</row>
    <row r="10" spans="1:44" ht="14.25" customHeight="1" x14ac:dyDescent="0.2">
      <c r="A10" s="96"/>
      <c r="B10" s="96"/>
      <c r="C10" s="90"/>
      <c r="D10" s="90"/>
      <c r="E10" s="97"/>
      <c r="F10" s="97"/>
      <c r="G10" s="90"/>
      <c r="H10" s="90"/>
      <c r="I10" s="97"/>
      <c r="J10" s="97"/>
      <c r="K10" s="90"/>
      <c r="L10" s="90"/>
      <c r="M10" s="97"/>
      <c r="N10" s="97"/>
      <c r="O10" s="90"/>
      <c r="P10" s="90"/>
      <c r="Q10" s="97"/>
      <c r="R10" s="97"/>
      <c r="S10" s="90"/>
      <c r="T10" s="90"/>
      <c r="U10" s="97"/>
      <c r="V10" s="97"/>
      <c r="W10" s="90"/>
      <c r="X10" s="90"/>
      <c r="Y10" s="97"/>
      <c r="Z10" s="97"/>
      <c r="AA10" s="24"/>
      <c r="AB10" s="24"/>
      <c r="AC10" s="24"/>
      <c r="AD10" s="24"/>
      <c r="AE10" s="24"/>
      <c r="AF10" s="24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</row>
    <row r="11" spans="1:44" ht="14.25" customHeight="1" x14ac:dyDescent="0.2">
      <c r="A11" s="96"/>
      <c r="B11" s="96"/>
      <c r="C11" s="92"/>
      <c r="D11" s="92"/>
      <c r="E11" s="97"/>
      <c r="F11" s="97"/>
      <c r="G11" s="92"/>
      <c r="H11" s="92"/>
      <c r="I11" s="97"/>
      <c r="J11" s="97"/>
      <c r="K11" s="92"/>
      <c r="L11" s="92"/>
      <c r="M11" s="97"/>
      <c r="N11" s="97"/>
      <c r="O11" s="90"/>
      <c r="P11" s="90"/>
      <c r="Q11" s="97"/>
      <c r="R11" s="97"/>
      <c r="S11" s="92"/>
      <c r="T11" s="92"/>
      <c r="U11" s="97"/>
      <c r="V11" s="97"/>
      <c r="W11" s="92"/>
      <c r="X11" s="92"/>
      <c r="Y11" s="97"/>
      <c r="Z11" s="97"/>
      <c r="AA11" s="24"/>
      <c r="AB11" s="24"/>
      <c r="AC11" s="24"/>
      <c r="AD11" s="24"/>
      <c r="AE11" s="24"/>
      <c r="AF11" s="24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</row>
    <row r="12" spans="1:44" ht="14.25" customHeight="1" x14ac:dyDescent="0.2">
      <c r="A12" s="96"/>
      <c r="B12" s="96"/>
      <c r="C12" s="92"/>
      <c r="D12" s="92"/>
      <c r="E12" s="97"/>
      <c r="F12" s="97"/>
      <c r="G12" s="92"/>
      <c r="H12" s="92"/>
      <c r="I12" s="97"/>
      <c r="J12" s="97"/>
      <c r="K12" s="92"/>
      <c r="L12" s="92"/>
      <c r="M12" s="97"/>
      <c r="N12" s="97"/>
      <c r="O12" s="92"/>
      <c r="P12" s="92"/>
      <c r="Q12" s="97"/>
      <c r="R12" s="97"/>
      <c r="S12" s="92"/>
      <c r="T12" s="92"/>
      <c r="U12" s="97"/>
      <c r="V12" s="97"/>
      <c r="W12" s="90"/>
      <c r="X12" s="90"/>
      <c r="Y12" s="97"/>
      <c r="Z12" s="97"/>
      <c r="AA12" s="24"/>
      <c r="AB12" s="24"/>
      <c r="AC12" s="24"/>
      <c r="AD12" s="24"/>
      <c r="AE12" s="24"/>
      <c r="AF12" s="24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</row>
    <row r="13" spans="1:44" ht="14.25" customHeight="1" x14ac:dyDescent="0.2">
      <c r="A13" s="96"/>
      <c r="B13" s="96"/>
      <c r="C13" s="92"/>
      <c r="D13" s="92"/>
      <c r="E13" s="97"/>
      <c r="F13" s="97"/>
      <c r="G13" s="92"/>
      <c r="H13" s="92"/>
      <c r="I13" s="97"/>
      <c r="J13" s="97"/>
      <c r="K13" s="92"/>
      <c r="L13" s="92"/>
      <c r="M13" s="97"/>
      <c r="N13" s="97"/>
      <c r="O13" s="92"/>
      <c r="P13" s="92"/>
      <c r="Q13" s="97"/>
      <c r="R13" s="97"/>
      <c r="S13" s="92"/>
      <c r="T13" s="92"/>
      <c r="U13" s="97"/>
      <c r="V13" s="97"/>
      <c r="W13" s="92"/>
      <c r="X13" s="92"/>
      <c r="Y13" s="97"/>
      <c r="Z13" s="97"/>
      <c r="AA13" s="24"/>
      <c r="AB13" s="24"/>
      <c r="AC13" s="24"/>
      <c r="AD13" s="24"/>
      <c r="AE13" s="24"/>
      <c r="AF13" s="24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</row>
    <row r="14" spans="1:44" ht="14.25" customHeight="1" x14ac:dyDescent="0.2">
      <c r="A14" s="96"/>
      <c r="B14" s="96"/>
      <c r="C14" s="92"/>
      <c r="D14" s="92"/>
      <c r="E14" s="97"/>
      <c r="F14" s="97"/>
      <c r="G14" s="92"/>
      <c r="H14" s="92"/>
      <c r="I14" s="97"/>
      <c r="J14" s="97"/>
      <c r="K14" s="92"/>
      <c r="L14" s="92"/>
      <c r="M14" s="97"/>
      <c r="N14" s="97"/>
      <c r="O14" s="92"/>
      <c r="P14" s="92"/>
      <c r="Q14" s="97"/>
      <c r="R14" s="97"/>
      <c r="S14" s="92"/>
      <c r="T14" s="92"/>
      <c r="U14" s="97"/>
      <c r="V14" s="97"/>
      <c r="W14" s="92"/>
      <c r="X14" s="92"/>
      <c r="Y14" s="97"/>
      <c r="Z14" s="97"/>
      <c r="AA14" s="24"/>
      <c r="AB14" s="24"/>
      <c r="AC14" s="24"/>
      <c r="AD14" s="24"/>
      <c r="AE14" s="24"/>
      <c r="AF14" s="24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</row>
    <row r="15" spans="1:44" ht="14.25" customHeight="1" x14ac:dyDescent="0.2">
      <c r="A15" s="96"/>
      <c r="B15" s="96"/>
      <c r="C15" s="93"/>
      <c r="D15" s="93"/>
      <c r="E15" s="97"/>
      <c r="F15" s="97"/>
      <c r="G15" s="92"/>
      <c r="H15" s="92"/>
      <c r="I15" s="97"/>
      <c r="J15" s="97"/>
      <c r="K15" s="93"/>
      <c r="L15" s="93"/>
      <c r="M15" s="97"/>
      <c r="N15" s="97"/>
      <c r="O15" s="93"/>
      <c r="P15" s="93"/>
      <c r="Q15" s="97"/>
      <c r="R15" s="97"/>
      <c r="S15" s="93"/>
      <c r="T15" s="93"/>
      <c r="U15" s="97"/>
      <c r="V15" s="97"/>
      <c r="W15" s="93"/>
      <c r="X15" s="93"/>
      <c r="Y15" s="97"/>
      <c r="Z15" s="97"/>
      <c r="AA15" s="24"/>
      <c r="AB15" s="24"/>
      <c r="AC15" s="24"/>
      <c r="AD15" s="24"/>
      <c r="AE15" s="24"/>
      <c r="AF15" s="24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</row>
    <row r="16" spans="1:44" ht="14.25" customHeight="1" x14ac:dyDescent="0.2">
      <c r="A16" s="96"/>
      <c r="B16" s="96"/>
      <c r="C16" s="93"/>
      <c r="D16" s="93"/>
      <c r="E16" s="97"/>
      <c r="F16" s="97"/>
      <c r="G16" s="93"/>
      <c r="H16" s="93"/>
      <c r="I16" s="97"/>
      <c r="J16" s="97"/>
      <c r="K16" s="93"/>
      <c r="L16" s="93"/>
      <c r="M16" s="97"/>
      <c r="N16" s="97"/>
      <c r="O16" s="94"/>
      <c r="P16" s="94"/>
      <c r="Q16" s="97"/>
      <c r="R16" s="97"/>
      <c r="S16" s="93"/>
      <c r="T16" s="93"/>
      <c r="U16" s="97"/>
      <c r="V16" s="97"/>
      <c r="W16" s="93"/>
      <c r="X16" s="93"/>
      <c r="Y16" s="97"/>
      <c r="Z16" s="97"/>
      <c r="AA16" s="24"/>
      <c r="AB16" s="24"/>
      <c r="AC16" s="24"/>
      <c r="AD16" s="24"/>
      <c r="AE16" s="24"/>
      <c r="AF16" s="24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</row>
    <row r="17" spans="1:44" ht="14.25" customHeight="1" x14ac:dyDescent="0.2">
      <c r="A17" s="96"/>
      <c r="B17" s="96"/>
      <c r="C17" s="93"/>
      <c r="D17" s="93"/>
      <c r="E17" s="97"/>
      <c r="F17" s="97"/>
      <c r="G17" s="94"/>
      <c r="H17" s="94"/>
      <c r="I17" s="97"/>
      <c r="J17" s="97"/>
      <c r="K17" s="93"/>
      <c r="L17" s="93"/>
      <c r="M17" s="97"/>
      <c r="N17" s="97"/>
      <c r="O17" s="93"/>
      <c r="P17" s="93"/>
      <c r="Q17" s="97"/>
      <c r="R17" s="97"/>
      <c r="S17" s="93"/>
      <c r="T17" s="93"/>
      <c r="U17" s="97"/>
      <c r="V17" s="97"/>
      <c r="W17" s="93"/>
      <c r="X17" s="93"/>
      <c r="Y17" s="97"/>
      <c r="Z17" s="97"/>
      <c r="AA17" s="24"/>
      <c r="AB17" s="24"/>
      <c r="AC17" s="24"/>
      <c r="AD17" s="24"/>
      <c r="AE17" s="24"/>
      <c r="AF17" s="24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</row>
    <row r="18" spans="1:44" ht="14.25" customHeight="1" x14ac:dyDescent="0.2">
      <c r="A18" s="96"/>
      <c r="B18" s="96"/>
      <c r="C18" s="93"/>
      <c r="D18" s="93"/>
      <c r="E18" s="97"/>
      <c r="F18" s="97"/>
      <c r="G18" s="93"/>
      <c r="H18" s="93"/>
      <c r="I18" s="97"/>
      <c r="J18" s="97"/>
      <c r="K18" s="93"/>
      <c r="L18" s="93"/>
      <c r="M18" s="97"/>
      <c r="N18" s="97"/>
      <c r="O18" s="93"/>
      <c r="P18" s="93"/>
      <c r="Q18" s="97"/>
      <c r="R18" s="97"/>
      <c r="S18" s="94"/>
      <c r="T18" s="94"/>
      <c r="U18" s="97"/>
      <c r="V18" s="97"/>
      <c r="W18" s="94"/>
      <c r="X18" s="94"/>
      <c r="Y18" s="97"/>
      <c r="Z18" s="97"/>
      <c r="AA18" s="24"/>
      <c r="AB18" s="24"/>
      <c r="AC18" s="24"/>
      <c r="AD18" s="24"/>
      <c r="AE18" s="24"/>
      <c r="AF18" s="24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</row>
    <row r="19" spans="1:44" ht="14.25" customHeight="1" x14ac:dyDescent="0.2">
      <c r="A19" s="96"/>
      <c r="B19" s="96"/>
      <c r="C19" s="93"/>
      <c r="D19" s="93"/>
      <c r="E19" s="97"/>
      <c r="F19" s="97"/>
      <c r="G19" s="93"/>
      <c r="H19" s="93"/>
      <c r="I19" s="97"/>
      <c r="J19" s="97"/>
      <c r="K19" s="93"/>
      <c r="L19" s="93"/>
      <c r="M19" s="97"/>
      <c r="N19" s="97"/>
      <c r="O19" s="93"/>
      <c r="P19" s="93"/>
      <c r="Q19" s="97"/>
      <c r="R19" s="97"/>
      <c r="S19" s="93"/>
      <c r="T19" s="93"/>
      <c r="U19" s="97"/>
      <c r="V19" s="97"/>
      <c r="W19" s="94"/>
      <c r="X19" s="94"/>
      <c r="Y19" s="97"/>
      <c r="Z19" s="97"/>
      <c r="AA19" s="24"/>
      <c r="AB19" s="24"/>
      <c r="AC19" s="24"/>
      <c r="AD19" s="24"/>
      <c r="AE19" s="24"/>
      <c r="AF19" s="24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</row>
    <row r="20" spans="1:44" ht="14.25" customHeight="1" x14ac:dyDescent="0.2">
      <c r="A20" s="96"/>
      <c r="B20" s="96"/>
      <c r="C20" s="93"/>
      <c r="D20" s="93"/>
      <c r="E20" s="97"/>
      <c r="F20" s="97"/>
      <c r="G20" s="93"/>
      <c r="H20" s="93"/>
      <c r="I20" s="97"/>
      <c r="J20" s="97"/>
      <c r="K20" s="93"/>
      <c r="L20" s="93"/>
      <c r="M20" s="97"/>
      <c r="N20" s="97"/>
      <c r="O20" s="93"/>
      <c r="P20" s="93"/>
      <c r="Q20" s="97"/>
      <c r="R20" s="97"/>
      <c r="S20" s="93"/>
      <c r="T20" s="93"/>
      <c r="U20" s="97"/>
      <c r="V20" s="97"/>
      <c r="W20" s="93"/>
      <c r="X20" s="93"/>
      <c r="Y20" s="97"/>
      <c r="Z20" s="97"/>
      <c r="AA20" s="24"/>
      <c r="AB20" s="24"/>
      <c r="AC20" s="24"/>
      <c r="AD20" s="24"/>
      <c r="AE20" s="24"/>
      <c r="AF20" s="24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</row>
    <row r="21" spans="1:44" ht="15.75" customHeight="1" x14ac:dyDescent="0.2">
      <c r="A21" s="96"/>
      <c r="B21" s="96"/>
      <c r="C21" s="94"/>
      <c r="D21" s="94"/>
      <c r="E21" s="97"/>
      <c r="F21" s="97"/>
      <c r="G21" s="93"/>
      <c r="H21" s="93"/>
      <c r="I21" s="97"/>
      <c r="J21" s="97"/>
      <c r="K21" s="94"/>
      <c r="L21" s="94"/>
      <c r="M21" s="97"/>
      <c r="N21" s="97"/>
      <c r="O21" s="93"/>
      <c r="P21" s="93"/>
      <c r="Q21" s="97"/>
      <c r="R21" s="97"/>
      <c r="S21" s="93"/>
      <c r="T21" s="93"/>
      <c r="U21" s="97"/>
      <c r="V21" s="97"/>
      <c r="W21" s="93"/>
      <c r="X21" s="93"/>
      <c r="Y21" s="97"/>
      <c r="Z21" s="97"/>
      <c r="AA21" s="24"/>
      <c r="AB21" s="24"/>
      <c r="AC21" s="24"/>
      <c r="AD21" s="24"/>
      <c r="AE21" s="24"/>
      <c r="AF21" s="24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</row>
    <row r="22" spans="1:44" ht="15.75" customHeight="1" x14ac:dyDescent="0.2">
      <c r="A22" s="96"/>
      <c r="B22" s="96"/>
      <c r="C22" s="93"/>
      <c r="D22" s="93"/>
      <c r="E22" s="97"/>
      <c r="F22" s="97"/>
      <c r="G22" s="93"/>
      <c r="H22" s="93"/>
      <c r="I22" s="97"/>
      <c r="J22" s="97"/>
      <c r="K22" s="93"/>
      <c r="L22" s="93"/>
      <c r="M22" s="97"/>
      <c r="N22" s="97"/>
      <c r="O22" s="93"/>
      <c r="P22" s="93"/>
      <c r="Q22" s="97"/>
      <c r="R22" s="97"/>
      <c r="S22" s="93"/>
      <c r="T22" s="93"/>
      <c r="U22" s="97"/>
      <c r="V22" s="97"/>
      <c r="W22" s="93"/>
      <c r="X22" s="93"/>
      <c r="Y22" s="97"/>
      <c r="Z22" s="97"/>
      <c r="AA22" s="24"/>
      <c r="AB22" s="24"/>
      <c r="AC22" s="24"/>
      <c r="AD22" s="24"/>
      <c r="AE22" s="24"/>
      <c r="AF22" s="24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</row>
    <row r="23" spans="1:44" ht="15.75" customHeight="1" x14ac:dyDescent="0.2">
      <c r="A23" s="96"/>
      <c r="B23" s="96"/>
      <c r="C23" s="93"/>
      <c r="D23" s="93"/>
      <c r="E23" s="97"/>
      <c r="F23" s="97"/>
      <c r="G23" s="93"/>
      <c r="H23" s="93"/>
      <c r="I23" s="97"/>
      <c r="J23" s="97"/>
      <c r="K23" s="93"/>
      <c r="L23" s="93"/>
      <c r="M23" s="97"/>
      <c r="N23" s="97"/>
      <c r="O23" s="93"/>
      <c r="P23" s="95"/>
      <c r="Q23" s="97"/>
      <c r="R23" s="97"/>
      <c r="S23" s="93"/>
      <c r="T23" s="93"/>
      <c r="U23" s="97"/>
      <c r="V23" s="97"/>
      <c r="W23" s="93"/>
      <c r="X23" s="93"/>
      <c r="Y23" s="97"/>
      <c r="Z23" s="97"/>
      <c r="AA23" s="24"/>
      <c r="AB23" s="24"/>
      <c r="AC23" s="24"/>
      <c r="AD23" s="24"/>
      <c r="AE23" s="24"/>
      <c r="AF23" s="24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</row>
    <row r="24" spans="1:44" ht="15.75" customHeight="1" x14ac:dyDescent="0.2">
      <c r="A24" s="96"/>
      <c r="B24" s="96"/>
      <c r="C24" s="111"/>
      <c r="D24" s="111"/>
      <c r="E24" s="97"/>
      <c r="F24" s="97"/>
      <c r="G24" s="108"/>
      <c r="H24" s="109"/>
      <c r="I24" s="97"/>
      <c r="J24" s="97"/>
      <c r="K24" s="111"/>
      <c r="L24" s="111"/>
      <c r="M24" s="97"/>
      <c r="N24" s="97"/>
      <c r="O24" s="109"/>
      <c r="P24" s="109"/>
      <c r="Q24" s="97"/>
      <c r="R24" s="97"/>
      <c r="S24" s="109"/>
      <c r="T24" s="109"/>
      <c r="U24" s="97"/>
      <c r="V24" s="97"/>
      <c r="W24" s="109"/>
      <c r="X24" s="109"/>
      <c r="Y24" s="97"/>
      <c r="Z24" s="97"/>
      <c r="AA24" s="24"/>
      <c r="AB24" s="24"/>
      <c r="AC24" s="24"/>
      <c r="AD24" s="24"/>
      <c r="AE24" s="24"/>
      <c r="AF24" s="24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</row>
    <row r="25" spans="1:44" ht="15.75" customHeight="1" x14ac:dyDescent="0.2">
      <c r="A25" s="43"/>
      <c r="B25" s="4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</row>
    <row r="26" spans="1:44" ht="14.25" customHeight="1" x14ac:dyDescent="0.2">
      <c r="A26" s="172" t="s">
        <v>70</v>
      </c>
      <c r="B26" s="123"/>
      <c r="C26" s="173">
        <f>COUNT(C9:C24)</f>
        <v>0</v>
      </c>
      <c r="D26" s="122"/>
      <c r="E26" s="122"/>
      <c r="F26" s="123"/>
      <c r="G26" s="173">
        <f>COUNT(G9:G24)</f>
        <v>0</v>
      </c>
      <c r="H26" s="122"/>
      <c r="I26" s="122"/>
      <c r="J26" s="123"/>
      <c r="K26" s="173">
        <f>COUNT(K9:K24)</f>
        <v>0</v>
      </c>
      <c r="L26" s="122"/>
      <c r="M26" s="122"/>
      <c r="N26" s="123"/>
      <c r="O26" s="173">
        <f>COUNT(O9:O24)</f>
        <v>0</v>
      </c>
      <c r="P26" s="122"/>
      <c r="Q26" s="122"/>
      <c r="R26" s="123"/>
      <c r="S26" s="173">
        <f>COUNT(S9:S24)</f>
        <v>0</v>
      </c>
      <c r="T26" s="122"/>
      <c r="U26" s="122"/>
      <c r="V26" s="123"/>
      <c r="W26" s="173">
        <f>COUNT(W9:W24)</f>
        <v>0</v>
      </c>
      <c r="X26" s="122"/>
      <c r="Y26" s="122"/>
      <c r="Z26" s="123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</row>
    <row r="27" spans="1:44" ht="15.75" customHeight="1" x14ac:dyDescent="0.2">
      <c r="A27" s="172" t="s">
        <v>30</v>
      </c>
      <c r="B27" s="123"/>
      <c r="C27" s="171">
        <f>COUNTIF(C9:C23,"Absent")</f>
        <v>0</v>
      </c>
      <c r="D27" s="122"/>
      <c r="E27" s="122"/>
      <c r="F27" s="123"/>
      <c r="G27" s="171">
        <f>COUNTIF(G9:G23,"Absent")</f>
        <v>0</v>
      </c>
      <c r="H27" s="122"/>
      <c r="I27" s="122"/>
      <c r="J27" s="123"/>
      <c r="K27" s="171">
        <f>COUNTIF(K9:K23,"Absent")</f>
        <v>0</v>
      </c>
      <c r="L27" s="122"/>
      <c r="M27" s="122"/>
      <c r="N27" s="123"/>
      <c r="O27" s="171">
        <f>COUNTIF(O9:O23,"Absent")</f>
        <v>0</v>
      </c>
      <c r="P27" s="122"/>
      <c r="Q27" s="122"/>
      <c r="R27" s="123"/>
      <c r="S27" s="171">
        <f>COUNTIF(S9:S23,"Absent")</f>
        <v>0</v>
      </c>
      <c r="T27" s="122"/>
      <c r="U27" s="122"/>
      <c r="V27" s="123"/>
      <c r="W27" s="171">
        <f>COUNTIF(W9:W23,"Absent")</f>
        <v>0</v>
      </c>
      <c r="X27" s="122"/>
      <c r="Y27" s="122"/>
      <c r="Z27" s="123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</row>
    <row r="28" spans="1:44" ht="15.75" customHeight="1" x14ac:dyDescent="0.2">
      <c r="A28" s="170" t="s">
        <v>24</v>
      </c>
      <c r="B28" s="123"/>
      <c r="C28" s="171">
        <f>COUNTIF(C9:C23,"Leave")+COUNTIF(C9:C23,"VL")</f>
        <v>0</v>
      </c>
      <c r="D28" s="122"/>
      <c r="E28" s="122"/>
      <c r="F28" s="123"/>
      <c r="G28" s="171">
        <f>COUNTIF(G9:G23,"Leave")+COUNTIF(G9:G23,"VL")</f>
        <v>0</v>
      </c>
      <c r="H28" s="122"/>
      <c r="I28" s="122"/>
      <c r="J28" s="123"/>
      <c r="K28" s="171">
        <f>COUNTIF(K9:K23,"Leave")+COUNTIF(K9:K23,"VL")</f>
        <v>0</v>
      </c>
      <c r="L28" s="122"/>
      <c r="M28" s="122"/>
      <c r="N28" s="123"/>
      <c r="O28" s="171">
        <f>COUNTIF(O9:O23,"Leave")+COUNTIF(O9:O23,"VL")</f>
        <v>0</v>
      </c>
      <c r="P28" s="122"/>
      <c r="Q28" s="122"/>
      <c r="R28" s="123"/>
      <c r="S28" s="171">
        <f>COUNTIF(S9:S23,"Leave")+COUNTIF(S9:S23,"VL")</f>
        <v>0</v>
      </c>
      <c r="T28" s="122"/>
      <c r="U28" s="122"/>
      <c r="V28" s="123"/>
      <c r="W28" s="171">
        <f>COUNTIF(W9:W23,"Leave")+COUNTIF(W9:W23,"VL")</f>
        <v>0</v>
      </c>
      <c r="X28" s="122"/>
      <c r="Y28" s="122"/>
      <c r="Z28" s="123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</row>
    <row r="29" spans="1:44" ht="15.75" customHeight="1" x14ac:dyDescent="0.2">
      <c r="A29" s="170" t="s">
        <v>26</v>
      </c>
      <c r="B29" s="123"/>
      <c r="C29" s="174">
        <f>COUNTIF(C9:C23,"SL")</f>
        <v>0</v>
      </c>
      <c r="D29" s="122"/>
      <c r="E29" s="122"/>
      <c r="F29" s="123"/>
      <c r="G29" s="174">
        <f>COUNTIF(G9:G23,"SL")</f>
        <v>0</v>
      </c>
      <c r="H29" s="122"/>
      <c r="I29" s="122"/>
      <c r="J29" s="123"/>
      <c r="K29" s="174">
        <f>COUNTIF(K9:K23,"SL")</f>
        <v>0</v>
      </c>
      <c r="L29" s="122"/>
      <c r="M29" s="122"/>
      <c r="N29" s="123"/>
      <c r="O29" s="174">
        <f>COUNTIF(O9:O23,"SL")</f>
        <v>0</v>
      </c>
      <c r="P29" s="122"/>
      <c r="Q29" s="122"/>
      <c r="R29" s="123"/>
      <c r="S29" s="174">
        <f>COUNTIF(S9:S23,"SL")</f>
        <v>0</v>
      </c>
      <c r="T29" s="122"/>
      <c r="U29" s="122"/>
      <c r="V29" s="123"/>
      <c r="W29" s="174">
        <f>COUNTIF(W9:W23,"SL")</f>
        <v>0</v>
      </c>
      <c r="X29" s="122"/>
      <c r="Y29" s="122"/>
      <c r="Z29" s="123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</row>
    <row r="30" spans="1:44" ht="15.75" customHeight="1" x14ac:dyDescent="0.2">
      <c r="A30" s="170" t="s">
        <v>76</v>
      </c>
      <c r="B30" s="123"/>
      <c r="C30" s="171">
        <f t="array" ref="C30">SUM(COUNTIF(W9:W23,{"ML","PL"}))</f>
        <v>0</v>
      </c>
      <c r="D30" s="122"/>
      <c r="E30" s="122"/>
      <c r="F30" s="123"/>
      <c r="G30" s="171">
        <f t="array" ref="G30">SUM(COUNTIF(W9:W23,{"ML","PL"}))</f>
        <v>0</v>
      </c>
      <c r="H30" s="122"/>
      <c r="I30" s="122"/>
      <c r="J30" s="123"/>
      <c r="K30" s="171">
        <f t="array" ref="K30">SUM(COUNTIF(AA9:AA23,{"ML","PL"}))</f>
        <v>0</v>
      </c>
      <c r="L30" s="122"/>
      <c r="M30" s="122"/>
      <c r="N30" s="123"/>
      <c r="O30" s="171">
        <f t="array" ref="O30">SUM(COUNTIF(AD9:AD23,{"ML","PL"}))</f>
        <v>0</v>
      </c>
      <c r="P30" s="122"/>
      <c r="Q30" s="122"/>
      <c r="R30" s="123"/>
      <c r="S30" s="171">
        <f t="array" ref="S30">SUM(COUNTIF(AG9:AG23,{"ML","PL"}))</f>
        <v>0</v>
      </c>
      <c r="T30" s="122"/>
      <c r="U30" s="122"/>
      <c r="V30" s="123"/>
      <c r="W30" s="171">
        <f t="array" ref="W30">SUM(COUNTIF(AJ9:AJ23,{"ML","PL"}))</f>
        <v>0</v>
      </c>
      <c r="X30" s="122"/>
      <c r="Y30" s="122"/>
      <c r="Z30" s="123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</row>
    <row r="31" spans="1:44" ht="15.75" customHeight="1" x14ac:dyDescent="0.25">
      <c r="A31" s="2"/>
      <c r="B31" s="2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6"/>
      <c r="R31" s="6"/>
      <c r="S31" s="24"/>
      <c r="T31" s="24"/>
      <c r="U31" s="6"/>
      <c r="V31" s="6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</row>
    <row r="32" spans="1:44" ht="15.75" customHeight="1" x14ac:dyDescent="0.2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</row>
    <row r="33" spans="1:44" ht="15.75" customHeight="1" x14ac:dyDescent="0.2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</row>
    <row r="34" spans="1:44" ht="15.75" customHeight="1" x14ac:dyDescent="0.2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</row>
    <row r="35" spans="1:44" ht="15.75" customHeight="1" x14ac:dyDescent="0.2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</row>
    <row r="36" spans="1:44" ht="15.75" customHeight="1" x14ac:dyDescent="0.2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</row>
    <row r="37" spans="1:44" ht="15.75" customHeight="1" x14ac:dyDescent="0.2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</row>
    <row r="38" spans="1:44" ht="15.75" customHeight="1" x14ac:dyDescent="0.2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</row>
    <row r="39" spans="1:44" ht="15.75" customHeight="1" x14ac:dyDescent="0.2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</row>
    <row r="40" spans="1:44" ht="15.75" customHeight="1" x14ac:dyDescent="0.2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</row>
    <row r="41" spans="1:44" ht="15.75" customHeight="1" x14ac:dyDescent="0.2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</row>
    <row r="42" spans="1:44" ht="15.75" customHeight="1" x14ac:dyDescent="0.2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</row>
    <row r="43" spans="1:44" ht="15.75" customHeight="1" x14ac:dyDescent="0.2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</row>
    <row r="44" spans="1:44" ht="15.75" customHeight="1" x14ac:dyDescent="0.2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</row>
    <row r="45" spans="1:44" ht="15.75" customHeight="1" x14ac:dyDescent="0.2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</row>
    <row r="46" spans="1:44" ht="15.75" customHeight="1" x14ac:dyDescent="0.2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</row>
    <row r="47" spans="1:44" ht="15.75" customHeight="1" x14ac:dyDescent="0.2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</row>
    <row r="48" spans="1:44" ht="15.75" customHeight="1" x14ac:dyDescent="0.2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</row>
    <row r="49" spans="1:44" ht="15.75" customHeight="1" x14ac:dyDescent="0.2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6"/>
      <c r="P49" s="6"/>
      <c r="Q49" s="24"/>
      <c r="R49" s="24"/>
      <c r="S49" s="6"/>
      <c r="T49" s="6"/>
      <c r="U49" s="24"/>
      <c r="V49" s="24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</row>
    <row r="50" spans="1:44" ht="15.75" customHeight="1" x14ac:dyDescent="0.2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6"/>
      <c r="P50" s="6"/>
      <c r="Q50" s="24"/>
      <c r="R50" s="24"/>
      <c r="S50" s="6"/>
      <c r="T50" s="6"/>
      <c r="U50" s="24"/>
      <c r="V50" s="24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</row>
    <row r="51" spans="1:44" ht="15.75" customHeight="1" x14ac:dyDescent="0.2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6"/>
      <c r="P51" s="6"/>
      <c r="Q51" s="24"/>
      <c r="R51" s="24"/>
      <c r="S51" s="6"/>
      <c r="T51" s="6"/>
      <c r="U51" s="24"/>
      <c r="V51" s="24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</row>
    <row r="52" spans="1:44" ht="15.75" customHeight="1" x14ac:dyDescent="0.2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6"/>
      <c r="P52" s="6"/>
      <c r="Q52" s="24"/>
      <c r="R52" s="24"/>
      <c r="S52" s="6"/>
      <c r="T52" s="6"/>
      <c r="U52" s="24"/>
      <c r="V52" s="24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</row>
    <row r="53" spans="1:44" ht="15.75" customHeight="1" x14ac:dyDescent="0.25">
      <c r="A53" s="2"/>
      <c r="B53" s="2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</row>
    <row r="54" spans="1:44" ht="15.75" customHeight="1" x14ac:dyDescent="0.25">
      <c r="A54" s="2"/>
      <c r="B54" s="2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</row>
    <row r="55" spans="1:44" ht="15.75" customHeight="1" x14ac:dyDescent="0.25">
      <c r="A55" s="2"/>
      <c r="B55" s="2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</row>
    <row r="56" spans="1:44" ht="15.75" customHeight="1" x14ac:dyDescent="0.25">
      <c r="A56" s="2"/>
      <c r="B56" s="2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</row>
    <row r="57" spans="1:44" ht="15.75" customHeight="1" x14ac:dyDescent="0.25">
      <c r="A57" s="2"/>
      <c r="B57" s="2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</row>
    <row r="58" spans="1:44" ht="15.75" customHeight="1" x14ac:dyDescent="0.25">
      <c r="A58" s="2"/>
      <c r="B58" s="2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"/>
      <c r="R58" s="2"/>
      <c r="S58" s="24"/>
      <c r="T58" s="24"/>
      <c r="U58" s="2"/>
      <c r="V58" s="2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</row>
    <row r="59" spans="1:44" ht="15.75" customHeight="1" x14ac:dyDescent="0.25">
      <c r="A59" s="2"/>
      <c r="B59" s="2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"/>
      <c r="R59" s="2"/>
      <c r="S59" s="24"/>
      <c r="T59" s="24"/>
      <c r="U59" s="2"/>
      <c r="V59" s="2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</row>
    <row r="60" spans="1:44" ht="15.75" customHeight="1" x14ac:dyDescent="0.25">
      <c r="A60" s="2"/>
      <c r="B60" s="2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"/>
      <c r="R60" s="2"/>
      <c r="S60" s="24"/>
      <c r="T60" s="24"/>
      <c r="U60" s="2"/>
      <c r="V60" s="2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</row>
    <row r="61" spans="1:44" ht="15.75" customHeight="1" x14ac:dyDescent="0.25">
      <c r="A61" s="2"/>
      <c r="B61" s="2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"/>
      <c r="R61" s="2"/>
      <c r="S61" s="24"/>
      <c r="T61" s="24"/>
      <c r="U61" s="2"/>
      <c r="V61" s="2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</row>
    <row r="62" spans="1:44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4"/>
      <c r="Z62" s="24"/>
      <c r="AA62" s="24"/>
      <c r="AB62" s="24"/>
      <c r="AC62" s="24"/>
      <c r="AD62" s="24"/>
      <c r="AE62" s="24"/>
      <c r="AF62" s="24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</row>
    <row r="63" spans="1:44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</row>
    <row r="64" spans="1:44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</row>
    <row r="65" spans="1:44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</row>
    <row r="66" spans="1:44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</row>
    <row r="67" spans="1:44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</row>
    <row r="68" spans="1:44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</row>
    <row r="69" spans="1:44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</row>
    <row r="70" spans="1:44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</row>
    <row r="71" spans="1:44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</row>
    <row r="72" spans="1:44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</row>
    <row r="73" spans="1:44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</row>
    <row r="74" spans="1:44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</row>
    <row r="75" spans="1:44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</row>
    <row r="76" spans="1:44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</row>
    <row r="77" spans="1:44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</row>
    <row r="78" spans="1:44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</row>
    <row r="79" spans="1:44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</row>
    <row r="80" spans="1:44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</row>
    <row r="81" spans="1:44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</row>
    <row r="82" spans="1:44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</row>
    <row r="83" spans="1:44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</row>
    <row r="84" spans="1:44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</row>
    <row r="85" spans="1:44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</row>
    <row r="86" spans="1:44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</row>
    <row r="87" spans="1:44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</row>
    <row r="88" spans="1:44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</row>
    <row r="89" spans="1:44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</row>
    <row r="90" spans="1:44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</row>
    <row r="91" spans="1:44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</row>
    <row r="92" spans="1:44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</row>
    <row r="93" spans="1:44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</row>
    <row r="94" spans="1:44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6"/>
      <c r="R94" s="6"/>
      <c r="S94" s="2"/>
      <c r="T94" s="2"/>
      <c r="U94" s="6"/>
      <c r="V94" s="6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</row>
    <row r="95" spans="1:44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6"/>
      <c r="R95" s="6"/>
      <c r="S95" s="2"/>
      <c r="T95" s="2"/>
      <c r="U95" s="6"/>
      <c r="V95" s="6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</row>
    <row r="96" spans="1:44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6"/>
      <c r="R96" s="6"/>
      <c r="S96" s="2"/>
      <c r="T96" s="2"/>
      <c r="U96" s="6"/>
      <c r="V96" s="6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</row>
    <row r="97" spans="1:44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6"/>
      <c r="R97" s="6"/>
      <c r="S97" s="2"/>
      <c r="T97" s="2"/>
      <c r="U97" s="6"/>
      <c r="V97" s="6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</row>
    <row r="98" spans="1:44" ht="15.75" customHeight="1" x14ac:dyDescent="0.25">
      <c r="A98" s="2"/>
      <c r="B98" s="2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2"/>
      <c r="Z98" s="2"/>
      <c r="AA98" s="2"/>
      <c r="AB98" s="2"/>
      <c r="AC98" s="2"/>
      <c r="AD98" s="2"/>
      <c r="AE98" s="2"/>
      <c r="AF98" s="2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</row>
    <row r="99" spans="1:44" ht="14.25" customHeight="1" x14ac:dyDescent="0.2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</row>
    <row r="100" spans="1:44" ht="14.25" customHeight="1" x14ac:dyDescent="0.2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</row>
    <row r="101" spans="1:44" ht="14.25" customHeight="1" x14ac:dyDescent="0.2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</row>
    <row r="102" spans="1:44" ht="14.25" customHeight="1" x14ac:dyDescent="0.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</row>
    <row r="103" spans="1:44" ht="14.25" customHeight="1" x14ac:dyDescent="0.2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</row>
    <row r="104" spans="1:44" ht="14.25" customHeight="1" x14ac:dyDescent="0.2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</row>
    <row r="105" spans="1:44" ht="14.25" customHeight="1" x14ac:dyDescent="0.2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</row>
    <row r="106" spans="1:44" ht="14.25" customHeight="1" x14ac:dyDescent="0.2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</row>
    <row r="107" spans="1:44" ht="14.25" customHeight="1" x14ac:dyDescent="0.2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</row>
    <row r="108" spans="1:44" ht="14.25" customHeight="1" x14ac:dyDescent="0.2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</row>
    <row r="109" spans="1:44" ht="14.25" customHeight="1" x14ac:dyDescent="0.2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</row>
    <row r="110" spans="1:44" ht="14.25" customHeight="1" x14ac:dyDescent="0.2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</row>
    <row r="111" spans="1:44" ht="14.25" customHeight="1" x14ac:dyDescent="0.2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</row>
    <row r="112" spans="1:44" ht="14.25" customHeight="1" x14ac:dyDescent="0.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</row>
    <row r="113" spans="1:44" ht="14.25" customHeight="1" x14ac:dyDescent="0.2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</row>
    <row r="114" spans="1:44" ht="14.25" customHeight="1" x14ac:dyDescent="0.2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</row>
    <row r="115" spans="1:44" ht="14.25" customHeight="1" x14ac:dyDescent="0.2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</row>
    <row r="116" spans="1:44" ht="14.25" customHeight="1" x14ac:dyDescent="0.2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</row>
    <row r="117" spans="1:44" ht="14.25" customHeight="1" x14ac:dyDescent="0.2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</row>
    <row r="118" spans="1:44" ht="14.25" customHeight="1" x14ac:dyDescent="0.2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</row>
    <row r="119" spans="1:44" ht="14.25" customHeight="1" x14ac:dyDescent="0.2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</row>
    <row r="120" spans="1:44" ht="14.25" customHeight="1" x14ac:dyDescent="0.2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</row>
    <row r="121" spans="1:44" ht="14.25" customHeight="1" x14ac:dyDescent="0.2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</row>
    <row r="122" spans="1:44" ht="14.25" customHeight="1" x14ac:dyDescent="0.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</row>
    <row r="123" spans="1:44" ht="14.25" customHeight="1" x14ac:dyDescent="0.2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</row>
    <row r="124" spans="1:44" ht="14.25" customHeight="1" x14ac:dyDescent="0.2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</row>
    <row r="125" spans="1:44" ht="14.25" customHeight="1" x14ac:dyDescent="0.2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</row>
    <row r="126" spans="1:44" ht="14.25" customHeight="1" x14ac:dyDescent="0.2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</row>
    <row r="127" spans="1:44" ht="14.25" customHeight="1" x14ac:dyDescent="0.2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</row>
    <row r="128" spans="1:44" ht="14.25" customHeight="1" x14ac:dyDescent="0.2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</row>
    <row r="129" spans="1:44" ht="14.25" customHeight="1" x14ac:dyDescent="0.2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</row>
    <row r="130" spans="1:44" ht="14.25" customHeight="1" x14ac:dyDescent="0.2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</row>
    <row r="131" spans="1:44" ht="14.25" customHeight="1" x14ac:dyDescent="0.2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</row>
    <row r="132" spans="1:44" ht="14.25" customHeight="1" x14ac:dyDescent="0.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</row>
    <row r="133" spans="1:44" ht="14.25" customHeight="1" x14ac:dyDescent="0.2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</row>
    <row r="134" spans="1:44" ht="14.25" customHeight="1" x14ac:dyDescent="0.2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</row>
    <row r="135" spans="1:44" ht="14.25" customHeight="1" x14ac:dyDescent="0.2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</row>
    <row r="136" spans="1:44" ht="14.25" customHeight="1" x14ac:dyDescent="0.2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</row>
    <row r="137" spans="1:44" ht="14.25" customHeight="1" x14ac:dyDescent="0.2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</row>
    <row r="138" spans="1:44" ht="14.25" customHeight="1" x14ac:dyDescent="0.2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</row>
    <row r="139" spans="1:44" ht="14.25" customHeight="1" x14ac:dyDescent="0.2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</row>
    <row r="140" spans="1:44" ht="14.25" customHeight="1" x14ac:dyDescent="0.2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</row>
    <row r="141" spans="1:44" ht="14.25" customHeight="1" x14ac:dyDescent="0.2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</row>
    <row r="142" spans="1:44" ht="14.25" customHeight="1" x14ac:dyDescent="0.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</row>
    <row r="143" spans="1:44" ht="14.25" customHeight="1" x14ac:dyDescent="0.2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</row>
    <row r="144" spans="1:44" ht="14.25" customHeight="1" x14ac:dyDescent="0.2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</row>
    <row r="145" spans="1:44" ht="14.25" customHeight="1" x14ac:dyDescent="0.2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</row>
    <row r="146" spans="1:44" ht="14.25" customHeight="1" x14ac:dyDescent="0.2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</row>
    <row r="147" spans="1:44" ht="14.25" customHeight="1" x14ac:dyDescent="0.2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</row>
    <row r="148" spans="1:44" ht="14.25" customHeight="1" x14ac:dyDescent="0.2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</row>
    <row r="149" spans="1:44" ht="14.25" customHeight="1" x14ac:dyDescent="0.2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</row>
    <row r="150" spans="1:44" ht="14.25" customHeight="1" x14ac:dyDescent="0.2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</row>
    <row r="151" spans="1:44" ht="14.25" customHeight="1" x14ac:dyDescent="0.2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</row>
    <row r="152" spans="1:44" ht="14.25" customHeight="1" x14ac:dyDescent="0.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</row>
    <row r="153" spans="1:44" ht="14.25" customHeight="1" x14ac:dyDescent="0.2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</row>
    <row r="154" spans="1:44" ht="14.25" customHeight="1" x14ac:dyDescent="0.2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</row>
    <row r="155" spans="1:44" ht="14.25" customHeight="1" x14ac:dyDescent="0.2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</row>
    <row r="156" spans="1:44" ht="14.25" customHeight="1" x14ac:dyDescent="0.2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</row>
    <row r="157" spans="1:44" ht="14.25" customHeight="1" x14ac:dyDescent="0.2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</row>
    <row r="158" spans="1:44" ht="14.25" customHeight="1" x14ac:dyDescent="0.2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</row>
    <row r="159" spans="1:44" ht="14.25" customHeight="1" x14ac:dyDescent="0.2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</row>
    <row r="160" spans="1:44" ht="14.25" customHeight="1" x14ac:dyDescent="0.2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</row>
    <row r="161" spans="1:44" ht="14.25" customHeight="1" x14ac:dyDescent="0.2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</row>
    <row r="162" spans="1:44" ht="14.25" customHeight="1" x14ac:dyDescent="0.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</row>
    <row r="163" spans="1:44" ht="14.25" customHeight="1" x14ac:dyDescent="0.2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</row>
    <row r="164" spans="1:44" ht="14.25" customHeight="1" x14ac:dyDescent="0.2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</row>
    <row r="165" spans="1:44" ht="14.25" customHeight="1" x14ac:dyDescent="0.2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</row>
    <row r="166" spans="1:44" ht="14.25" customHeight="1" x14ac:dyDescent="0.2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</row>
    <row r="167" spans="1:44" ht="14.25" customHeight="1" x14ac:dyDescent="0.2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</row>
    <row r="168" spans="1:44" ht="14.25" customHeight="1" x14ac:dyDescent="0.2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</row>
    <row r="169" spans="1:44" ht="14.25" customHeight="1" x14ac:dyDescent="0.2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</row>
    <row r="170" spans="1:44" ht="14.25" customHeight="1" x14ac:dyDescent="0.2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</row>
    <row r="171" spans="1:44" ht="14.25" customHeight="1" x14ac:dyDescent="0.2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</row>
    <row r="172" spans="1:44" ht="14.25" customHeight="1" x14ac:dyDescent="0.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</row>
    <row r="173" spans="1:44" ht="14.25" customHeight="1" x14ac:dyDescent="0.2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</row>
    <row r="174" spans="1:44" ht="14.25" customHeight="1" x14ac:dyDescent="0.2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</row>
    <row r="175" spans="1:44" ht="14.25" customHeight="1" x14ac:dyDescent="0.2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</row>
    <row r="176" spans="1:44" ht="14.25" customHeight="1" x14ac:dyDescent="0.2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</row>
    <row r="177" spans="1:44" ht="14.25" customHeight="1" x14ac:dyDescent="0.2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</row>
    <row r="178" spans="1:44" ht="14.25" customHeight="1" x14ac:dyDescent="0.2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</row>
    <row r="179" spans="1:44" ht="14.25" customHeight="1" x14ac:dyDescent="0.2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</row>
    <row r="180" spans="1:44" ht="14.25" customHeight="1" x14ac:dyDescent="0.2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</row>
    <row r="181" spans="1:44" ht="14.25" customHeight="1" x14ac:dyDescent="0.2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</row>
    <row r="182" spans="1:44" ht="14.25" customHeight="1" x14ac:dyDescent="0.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</row>
    <row r="183" spans="1:44" ht="14.25" customHeight="1" x14ac:dyDescent="0.2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</row>
    <row r="184" spans="1:44" ht="14.25" customHeight="1" x14ac:dyDescent="0.2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</row>
    <row r="185" spans="1:44" ht="14.25" customHeight="1" x14ac:dyDescent="0.2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</row>
    <row r="186" spans="1:44" ht="14.25" customHeight="1" x14ac:dyDescent="0.2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</row>
    <row r="187" spans="1:44" ht="14.25" customHeight="1" x14ac:dyDescent="0.2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</row>
    <row r="188" spans="1:44" ht="14.25" customHeight="1" x14ac:dyDescent="0.2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</row>
    <row r="189" spans="1:44" ht="14.25" customHeight="1" x14ac:dyDescent="0.2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</row>
    <row r="190" spans="1:44" ht="14.25" customHeight="1" x14ac:dyDescent="0.2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</row>
    <row r="191" spans="1:44" ht="14.25" customHeight="1" x14ac:dyDescent="0.2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</row>
    <row r="192" spans="1:44" ht="14.25" customHeight="1" x14ac:dyDescent="0.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</row>
    <row r="193" spans="1:44" ht="14.25" customHeight="1" x14ac:dyDescent="0.2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</row>
    <row r="194" spans="1:44" ht="14.25" customHeight="1" x14ac:dyDescent="0.2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</row>
    <row r="195" spans="1:44" ht="14.25" customHeight="1" x14ac:dyDescent="0.2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</row>
    <row r="196" spans="1:44" ht="14.25" customHeight="1" x14ac:dyDescent="0.2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</row>
    <row r="197" spans="1:44" ht="14.25" customHeight="1" x14ac:dyDescent="0.2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</row>
    <row r="198" spans="1:44" ht="14.25" customHeight="1" x14ac:dyDescent="0.2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</row>
    <row r="199" spans="1:44" ht="14.25" customHeight="1" x14ac:dyDescent="0.2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</row>
    <row r="200" spans="1:44" ht="14.25" customHeight="1" x14ac:dyDescent="0.2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</row>
    <row r="201" spans="1:44" ht="14.25" customHeight="1" x14ac:dyDescent="0.2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</row>
    <row r="202" spans="1:44" ht="14.25" customHeight="1" x14ac:dyDescent="0.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</row>
    <row r="203" spans="1:44" ht="14.25" customHeight="1" x14ac:dyDescent="0.2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</row>
    <row r="204" spans="1:44" ht="14.25" customHeight="1" x14ac:dyDescent="0.2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</row>
    <row r="205" spans="1:44" ht="14.25" customHeight="1" x14ac:dyDescent="0.2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</row>
    <row r="206" spans="1:44" ht="14.25" customHeight="1" x14ac:dyDescent="0.2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</row>
    <row r="207" spans="1:44" ht="14.25" customHeight="1" x14ac:dyDescent="0.2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</row>
    <row r="208" spans="1:44" ht="14.25" customHeight="1" x14ac:dyDescent="0.2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</row>
    <row r="209" spans="1:44" ht="14.25" customHeight="1" x14ac:dyDescent="0.2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</row>
    <row r="210" spans="1:44" ht="14.25" customHeight="1" x14ac:dyDescent="0.2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</row>
    <row r="211" spans="1:44" ht="14.25" customHeight="1" x14ac:dyDescent="0.2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</row>
    <row r="212" spans="1:44" ht="14.25" customHeight="1" x14ac:dyDescent="0.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</row>
    <row r="213" spans="1:44" ht="14.25" customHeight="1" x14ac:dyDescent="0.2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</row>
    <row r="214" spans="1:44" ht="14.25" customHeight="1" x14ac:dyDescent="0.2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</row>
    <row r="215" spans="1:44" ht="14.25" customHeight="1" x14ac:dyDescent="0.2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</row>
    <row r="216" spans="1:44" ht="14.25" customHeight="1" x14ac:dyDescent="0.2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</row>
    <row r="217" spans="1:44" ht="14.25" customHeight="1" x14ac:dyDescent="0.2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</row>
    <row r="218" spans="1:44" ht="14.25" customHeight="1" x14ac:dyDescent="0.2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</row>
    <row r="219" spans="1:44" ht="14.25" customHeight="1" x14ac:dyDescent="0.2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</row>
    <row r="220" spans="1:44" ht="14.25" customHeight="1" x14ac:dyDescent="0.2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</row>
    <row r="221" spans="1:44" ht="14.25" customHeight="1" x14ac:dyDescent="0.2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</row>
    <row r="222" spans="1:44" ht="14.25" customHeight="1" x14ac:dyDescent="0.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</row>
    <row r="223" spans="1:44" ht="14.25" customHeight="1" x14ac:dyDescent="0.2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</row>
    <row r="224" spans="1:44" ht="14.25" customHeight="1" x14ac:dyDescent="0.2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</row>
    <row r="225" spans="1:44" ht="14.25" customHeight="1" x14ac:dyDescent="0.2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</row>
    <row r="226" spans="1:44" ht="14.25" customHeight="1" x14ac:dyDescent="0.2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</row>
    <row r="227" spans="1:44" ht="14.25" customHeight="1" x14ac:dyDescent="0.2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S227" s="6"/>
      <c r="T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</row>
    <row r="228" spans="1:44" ht="14.25" customHeight="1" x14ac:dyDescent="0.2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S228" s="6"/>
      <c r="T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</row>
    <row r="229" spans="1:44" ht="14.25" customHeight="1" x14ac:dyDescent="0.2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S229" s="6"/>
      <c r="T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</row>
    <row r="230" spans="1:44" ht="14.25" customHeight="1" x14ac:dyDescent="0.2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S230" s="6"/>
      <c r="T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</row>
    <row r="231" spans="1:44" ht="14.25" customHeight="1" x14ac:dyDescent="0.2"/>
    <row r="232" spans="1:44" ht="14.25" customHeight="1" x14ac:dyDescent="0.2"/>
    <row r="233" spans="1:44" ht="14.25" customHeight="1" x14ac:dyDescent="0.2"/>
    <row r="234" spans="1:44" ht="14.25" customHeight="1" x14ac:dyDescent="0.2"/>
    <row r="235" spans="1:44" ht="14.25" customHeight="1" x14ac:dyDescent="0.2"/>
    <row r="236" spans="1:44" ht="14.25" customHeight="1" x14ac:dyDescent="0.2"/>
    <row r="237" spans="1:44" ht="14.25" customHeight="1" x14ac:dyDescent="0.2"/>
    <row r="238" spans="1:44" ht="14.25" customHeight="1" x14ac:dyDescent="0.2"/>
    <row r="239" spans="1:44" ht="14.25" customHeight="1" x14ac:dyDescent="0.2"/>
    <row r="240" spans="1:44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50">
    <mergeCell ref="Y7:Z7"/>
    <mergeCell ref="AA7:AB7"/>
    <mergeCell ref="AC7:AD7"/>
    <mergeCell ref="A7:B7"/>
    <mergeCell ref="C7:D7"/>
    <mergeCell ref="E7:F7"/>
    <mergeCell ref="G7:H7"/>
    <mergeCell ref="I7:J7"/>
    <mergeCell ref="K7:L7"/>
    <mergeCell ref="M7:N7"/>
    <mergeCell ref="O7:P7"/>
    <mergeCell ref="Q7:R7"/>
    <mergeCell ref="S7:T7"/>
    <mergeCell ref="U7:V7"/>
    <mergeCell ref="W7:X7"/>
    <mergeCell ref="S26:V26"/>
    <mergeCell ref="W26:Z26"/>
    <mergeCell ref="A27:B27"/>
    <mergeCell ref="C27:F27"/>
    <mergeCell ref="G27:J27"/>
    <mergeCell ref="K27:N27"/>
    <mergeCell ref="O27:R27"/>
    <mergeCell ref="S27:V27"/>
    <mergeCell ref="W27:Z27"/>
    <mergeCell ref="A26:B26"/>
    <mergeCell ref="C26:F26"/>
    <mergeCell ref="G26:J26"/>
    <mergeCell ref="K26:N26"/>
    <mergeCell ref="O26:R26"/>
    <mergeCell ref="A28:B28"/>
    <mergeCell ref="C28:F28"/>
    <mergeCell ref="G28:J28"/>
    <mergeCell ref="K28:N28"/>
    <mergeCell ref="O28:R28"/>
    <mergeCell ref="S28:V28"/>
    <mergeCell ref="W28:Z28"/>
    <mergeCell ref="A30:B30"/>
    <mergeCell ref="C30:F30"/>
    <mergeCell ref="G30:J30"/>
    <mergeCell ref="K30:N30"/>
    <mergeCell ref="O30:R30"/>
    <mergeCell ref="S30:V30"/>
    <mergeCell ref="W30:Z30"/>
    <mergeCell ref="A29:B29"/>
    <mergeCell ref="C29:F29"/>
    <mergeCell ref="G29:J29"/>
    <mergeCell ref="K29:N29"/>
    <mergeCell ref="O29:R29"/>
    <mergeCell ref="S29:V29"/>
    <mergeCell ref="W29:Z29"/>
  </mergeCells>
  <pageMargins left="0.7" right="0.7" top="1.9312499999999999" bottom="1.9312499999999999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V1000"/>
  <sheetViews>
    <sheetView workbookViewId="0">
      <pane xSplit="2" ySplit="6" topLeftCell="M7" activePane="bottomRight" state="frozen"/>
      <selection pane="topRight" activeCell="C1" sqref="C1"/>
      <selection pane="bottomLeft" activeCell="A7" sqref="A7"/>
      <selection pane="bottomRight" activeCell="A9" sqref="A9:B24"/>
    </sheetView>
  </sheetViews>
  <sheetFormatPr defaultColWidth="12.625" defaultRowHeight="15" customHeight="1" x14ac:dyDescent="0.2"/>
  <cols>
    <col min="1" max="1" width="11.5" customWidth="1"/>
    <col min="2" max="2" width="6.625" customWidth="1"/>
    <col min="3" max="3" width="10.875" customWidth="1"/>
    <col min="4" max="4" width="9.25" customWidth="1"/>
    <col min="5" max="6" width="13" customWidth="1"/>
    <col min="7" max="7" width="12.125" customWidth="1"/>
    <col min="8" max="8" width="10.625" customWidth="1"/>
    <col min="11" max="11" width="12" customWidth="1"/>
    <col min="12" max="14" width="12.75" customWidth="1"/>
    <col min="15" max="15" width="11.625" customWidth="1"/>
    <col min="16" max="18" width="12.375" customWidth="1"/>
    <col min="19" max="19" width="10.75" customWidth="1"/>
    <col min="20" max="22" width="12" customWidth="1"/>
    <col min="23" max="24" width="8.375" customWidth="1"/>
    <col min="25" max="26" width="11.75" customWidth="1"/>
    <col min="27" max="28" width="8.375" customWidth="1"/>
    <col min="29" max="30" width="11.75" customWidth="1"/>
    <col min="31" max="34" width="8.375" customWidth="1"/>
    <col min="35" max="48" width="13.875" customWidth="1"/>
  </cols>
  <sheetData>
    <row r="1" spans="1:48" ht="14.25" customHeight="1" x14ac:dyDescent="0.25">
      <c r="A1" s="1" t="s">
        <v>2</v>
      </c>
      <c r="B1" s="2"/>
      <c r="C1" s="3" t="s">
        <v>64</v>
      </c>
      <c r="D1" s="5"/>
      <c r="E1" s="5"/>
      <c r="F1" s="5"/>
      <c r="G1" s="5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</row>
    <row r="2" spans="1:48" ht="14.25" customHeight="1" x14ac:dyDescent="0.25">
      <c r="A2" s="7" t="s">
        <v>7</v>
      </c>
      <c r="B2" s="2"/>
      <c r="C2" s="3" t="s">
        <v>165</v>
      </c>
      <c r="D2" s="8"/>
      <c r="E2" s="8"/>
      <c r="F2" s="8"/>
      <c r="G2" s="8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</row>
    <row r="3" spans="1:48" ht="14.25" customHeight="1" x14ac:dyDescent="0.25">
      <c r="A3" s="7" t="s">
        <v>10</v>
      </c>
      <c r="B3" s="2"/>
      <c r="C3" s="10" t="s">
        <v>65</v>
      </c>
      <c r="D3" s="8"/>
      <c r="E3" s="8"/>
      <c r="F3" s="8"/>
      <c r="G3" s="8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</row>
    <row r="4" spans="1:48" ht="14.25" customHeight="1" x14ac:dyDescent="0.25">
      <c r="A4" s="7" t="s">
        <v>14</v>
      </c>
      <c r="B4" s="2"/>
      <c r="C4" s="16" t="str">
        <f>CLEAN('SUMMARY_-_GCM'!D5)</f>
        <v>October 1-15, 2026</v>
      </c>
      <c r="D4" s="8"/>
      <c r="E4" s="8"/>
      <c r="F4" s="8"/>
      <c r="G4" s="8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</row>
    <row r="5" spans="1:48" ht="14.25" customHeight="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</row>
    <row r="6" spans="1:48" ht="14.25" customHeight="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</row>
    <row r="7" spans="1:48" ht="15" customHeight="1" x14ac:dyDescent="0.25">
      <c r="A7" s="129" t="s">
        <v>25</v>
      </c>
      <c r="B7" s="123"/>
      <c r="C7" s="178" t="s">
        <v>64</v>
      </c>
      <c r="D7" s="123"/>
      <c r="E7" s="127" t="s">
        <v>29</v>
      </c>
      <c r="F7" s="128"/>
      <c r="G7" s="178" t="s">
        <v>86</v>
      </c>
      <c r="H7" s="123"/>
      <c r="I7" s="127" t="s">
        <v>29</v>
      </c>
      <c r="J7" s="128"/>
      <c r="K7" s="178" t="s">
        <v>87</v>
      </c>
      <c r="L7" s="123"/>
      <c r="M7" s="127" t="s">
        <v>29</v>
      </c>
      <c r="N7" s="128"/>
      <c r="O7" s="178" t="s">
        <v>98</v>
      </c>
      <c r="P7" s="123"/>
      <c r="Q7" s="127" t="s">
        <v>29</v>
      </c>
      <c r="R7" s="128"/>
      <c r="S7" s="178" t="s">
        <v>82</v>
      </c>
      <c r="T7" s="123"/>
      <c r="U7" s="127" t="s">
        <v>29</v>
      </c>
      <c r="V7" s="128"/>
      <c r="W7" s="178" t="s">
        <v>92</v>
      </c>
      <c r="X7" s="123"/>
      <c r="Y7" s="127" t="s">
        <v>29</v>
      </c>
      <c r="Z7" s="128"/>
      <c r="AA7" s="178" t="s">
        <v>110</v>
      </c>
      <c r="AB7" s="123"/>
      <c r="AC7" s="127" t="s">
        <v>29</v>
      </c>
      <c r="AD7" s="128"/>
      <c r="AE7" s="175"/>
      <c r="AF7" s="149"/>
      <c r="AG7" s="2"/>
      <c r="AH7" s="2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</row>
    <row r="8" spans="1:48" ht="15" customHeight="1" x14ac:dyDescent="0.25">
      <c r="A8" s="20" t="str">
        <f>CLEAN(BUUG!A8)</f>
        <v>#</v>
      </c>
      <c r="B8" s="20" t="s">
        <v>34</v>
      </c>
      <c r="C8" s="65" t="s">
        <v>35</v>
      </c>
      <c r="D8" s="65" t="s">
        <v>36</v>
      </c>
      <c r="E8" s="22" t="s">
        <v>35</v>
      </c>
      <c r="F8" s="22" t="s">
        <v>36</v>
      </c>
      <c r="G8" s="65" t="s">
        <v>35</v>
      </c>
      <c r="H8" s="65" t="s">
        <v>36</v>
      </c>
      <c r="I8" s="22" t="s">
        <v>35</v>
      </c>
      <c r="J8" s="22" t="s">
        <v>36</v>
      </c>
      <c r="K8" s="65" t="s">
        <v>35</v>
      </c>
      <c r="L8" s="65" t="s">
        <v>36</v>
      </c>
      <c r="M8" s="22" t="s">
        <v>35</v>
      </c>
      <c r="N8" s="22" t="s">
        <v>36</v>
      </c>
      <c r="O8" s="65" t="s">
        <v>35</v>
      </c>
      <c r="P8" s="65" t="s">
        <v>36</v>
      </c>
      <c r="Q8" s="22" t="s">
        <v>35</v>
      </c>
      <c r="R8" s="22" t="s">
        <v>36</v>
      </c>
      <c r="S8" s="65" t="s">
        <v>35</v>
      </c>
      <c r="T8" s="65" t="s">
        <v>36</v>
      </c>
      <c r="U8" s="22" t="s">
        <v>35</v>
      </c>
      <c r="V8" s="22" t="s">
        <v>36</v>
      </c>
      <c r="W8" s="65" t="s">
        <v>35</v>
      </c>
      <c r="X8" s="65" t="s">
        <v>36</v>
      </c>
      <c r="Y8" s="22" t="s">
        <v>35</v>
      </c>
      <c r="Z8" s="22" t="s">
        <v>36</v>
      </c>
      <c r="AA8" s="65" t="s">
        <v>35</v>
      </c>
      <c r="AB8" s="65" t="s">
        <v>36</v>
      </c>
      <c r="AC8" s="22" t="s">
        <v>35</v>
      </c>
      <c r="AD8" s="22" t="s">
        <v>36</v>
      </c>
      <c r="AE8" s="19"/>
      <c r="AF8" s="19"/>
      <c r="AG8" s="2"/>
      <c r="AH8" s="2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</row>
    <row r="9" spans="1:48" ht="14.25" customHeight="1" x14ac:dyDescent="0.2">
      <c r="A9" s="96"/>
      <c r="B9" s="112"/>
      <c r="C9" s="113"/>
      <c r="D9" s="114"/>
      <c r="E9" s="97"/>
      <c r="F9" s="115"/>
      <c r="G9" s="116"/>
      <c r="H9" s="116"/>
      <c r="I9" s="117"/>
      <c r="J9" s="115"/>
      <c r="K9" s="116"/>
      <c r="L9" s="113"/>
      <c r="M9" s="117"/>
      <c r="N9" s="97"/>
      <c r="O9" s="118"/>
      <c r="P9" s="118"/>
      <c r="Q9" s="97"/>
      <c r="R9" s="97"/>
      <c r="S9" s="118"/>
      <c r="T9" s="118"/>
      <c r="U9" s="97"/>
      <c r="V9" s="97"/>
      <c r="W9" s="118"/>
      <c r="X9" s="118"/>
      <c r="Y9" s="97"/>
      <c r="Z9" s="97"/>
      <c r="AA9" s="118"/>
      <c r="AB9" s="118"/>
      <c r="AC9" s="97"/>
      <c r="AD9" s="97"/>
      <c r="AE9" s="24"/>
      <c r="AF9" s="24"/>
      <c r="AG9" s="24"/>
      <c r="AH9" s="24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</row>
    <row r="10" spans="1:48" ht="14.25" customHeight="1" x14ac:dyDescent="0.2">
      <c r="A10" s="96"/>
      <c r="B10" s="96"/>
      <c r="C10" s="119"/>
      <c r="D10" s="118"/>
      <c r="E10" s="97"/>
      <c r="F10" s="97"/>
      <c r="G10" s="119"/>
      <c r="H10" s="119"/>
      <c r="I10" s="97"/>
      <c r="J10" s="97"/>
      <c r="K10" s="119"/>
      <c r="L10" s="119"/>
      <c r="M10" s="97"/>
      <c r="N10" s="97"/>
      <c r="O10" s="118"/>
      <c r="P10" s="118"/>
      <c r="Q10" s="97"/>
      <c r="R10" s="97"/>
      <c r="S10" s="118"/>
      <c r="T10" s="118"/>
      <c r="U10" s="97"/>
      <c r="V10" s="97"/>
      <c r="W10" s="118"/>
      <c r="X10" s="118"/>
      <c r="Y10" s="97"/>
      <c r="Z10" s="97"/>
      <c r="AA10" s="118"/>
      <c r="AB10" s="118"/>
      <c r="AC10" s="97"/>
      <c r="AD10" s="97"/>
      <c r="AE10" s="24"/>
      <c r="AF10" s="24"/>
      <c r="AG10" s="24"/>
      <c r="AH10" s="24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</row>
    <row r="11" spans="1:48" ht="14.25" customHeight="1" x14ac:dyDescent="0.2">
      <c r="A11" s="96"/>
      <c r="B11" s="96"/>
      <c r="C11" s="118"/>
      <c r="D11" s="118"/>
      <c r="E11" s="97"/>
      <c r="F11" s="97"/>
      <c r="G11" s="118"/>
      <c r="H11" s="118"/>
      <c r="I11" s="97"/>
      <c r="J11" s="97"/>
      <c r="K11" s="118"/>
      <c r="L11" s="118"/>
      <c r="M11" s="97"/>
      <c r="N11" s="97"/>
      <c r="O11" s="118"/>
      <c r="P11" s="118"/>
      <c r="Q11" s="97"/>
      <c r="R11" s="97"/>
      <c r="S11" s="118"/>
      <c r="T11" s="118"/>
      <c r="U11" s="97"/>
      <c r="V11" s="97"/>
      <c r="W11" s="118"/>
      <c r="X11" s="118"/>
      <c r="Y11" s="97"/>
      <c r="Z11" s="97"/>
      <c r="AA11" s="118"/>
      <c r="AB11" s="118"/>
      <c r="AC11" s="97"/>
      <c r="AD11" s="97"/>
      <c r="AE11" s="24"/>
      <c r="AF11" s="24"/>
      <c r="AG11" s="24"/>
      <c r="AH11" s="24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</row>
    <row r="12" spans="1:48" ht="14.25" customHeight="1" x14ac:dyDescent="0.2">
      <c r="A12" s="96"/>
      <c r="B12" s="96"/>
      <c r="C12" s="118"/>
      <c r="D12" s="118"/>
      <c r="E12" s="97"/>
      <c r="F12" s="97"/>
      <c r="G12" s="118"/>
      <c r="H12" s="118"/>
      <c r="I12" s="97"/>
      <c r="J12" s="97"/>
      <c r="K12" s="118"/>
      <c r="L12" s="118"/>
      <c r="M12" s="97"/>
      <c r="N12" s="97"/>
      <c r="O12" s="118"/>
      <c r="P12" s="118"/>
      <c r="Q12" s="97"/>
      <c r="R12" s="97"/>
      <c r="S12" s="118"/>
      <c r="T12" s="118"/>
      <c r="U12" s="97"/>
      <c r="V12" s="97"/>
      <c r="W12" s="118"/>
      <c r="X12" s="118"/>
      <c r="Y12" s="97"/>
      <c r="Z12" s="97"/>
      <c r="AA12" s="118"/>
      <c r="AB12" s="118"/>
      <c r="AC12" s="97"/>
      <c r="AD12" s="97"/>
      <c r="AE12" s="24"/>
      <c r="AF12" s="24"/>
      <c r="AG12" s="24"/>
      <c r="AH12" s="24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</row>
    <row r="13" spans="1:48" ht="14.25" customHeight="1" x14ac:dyDescent="0.2">
      <c r="A13" s="96"/>
      <c r="B13" s="96"/>
      <c r="C13" s="118"/>
      <c r="D13" s="118"/>
      <c r="E13" s="97"/>
      <c r="F13" s="97"/>
      <c r="G13" s="118"/>
      <c r="H13" s="118"/>
      <c r="I13" s="97"/>
      <c r="J13" s="97"/>
      <c r="K13" s="118"/>
      <c r="L13" s="118"/>
      <c r="M13" s="97"/>
      <c r="N13" s="97"/>
      <c r="O13" s="118"/>
      <c r="P13" s="118"/>
      <c r="Q13" s="97"/>
      <c r="R13" s="97"/>
      <c r="S13" s="118"/>
      <c r="T13" s="118"/>
      <c r="U13" s="97"/>
      <c r="V13" s="97"/>
      <c r="W13" s="118"/>
      <c r="X13" s="118"/>
      <c r="Y13" s="97"/>
      <c r="Z13" s="97"/>
      <c r="AA13" s="118"/>
      <c r="AB13" s="118"/>
      <c r="AC13" s="97"/>
      <c r="AD13" s="97"/>
      <c r="AE13" s="24"/>
      <c r="AF13" s="24"/>
      <c r="AG13" s="24"/>
      <c r="AH13" s="24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</row>
    <row r="14" spans="1:48" ht="14.25" customHeight="1" x14ac:dyDescent="0.2">
      <c r="A14" s="96"/>
      <c r="B14" s="96"/>
      <c r="C14" s="118"/>
      <c r="D14" s="118"/>
      <c r="E14" s="97"/>
      <c r="F14" s="97"/>
      <c r="G14" s="118"/>
      <c r="H14" s="118"/>
      <c r="I14" s="97"/>
      <c r="J14" s="97"/>
      <c r="K14" s="118"/>
      <c r="L14" s="118"/>
      <c r="M14" s="97"/>
      <c r="N14" s="97"/>
      <c r="O14" s="118"/>
      <c r="P14" s="118"/>
      <c r="Q14" s="97"/>
      <c r="R14" s="97"/>
      <c r="S14" s="118"/>
      <c r="T14" s="118"/>
      <c r="U14" s="97"/>
      <c r="V14" s="97"/>
      <c r="W14" s="118"/>
      <c r="X14" s="118"/>
      <c r="Y14" s="97"/>
      <c r="Z14" s="97"/>
      <c r="AA14" s="118"/>
      <c r="AB14" s="118"/>
      <c r="AC14" s="97"/>
      <c r="AD14" s="97"/>
      <c r="AE14" s="24"/>
      <c r="AF14" s="24"/>
      <c r="AG14" s="24"/>
      <c r="AH14" s="24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</row>
    <row r="15" spans="1:48" ht="14.25" customHeight="1" x14ac:dyDescent="0.2">
      <c r="A15" s="96"/>
      <c r="B15" s="96"/>
      <c r="C15" s="118"/>
      <c r="D15" s="118"/>
      <c r="E15" s="97"/>
      <c r="F15" s="97"/>
      <c r="G15" s="118"/>
      <c r="H15" s="118"/>
      <c r="I15" s="97"/>
      <c r="J15" s="97"/>
      <c r="K15" s="118"/>
      <c r="L15" s="118"/>
      <c r="M15" s="97"/>
      <c r="N15" s="97"/>
      <c r="O15" s="118"/>
      <c r="P15" s="118"/>
      <c r="Q15" s="97"/>
      <c r="R15" s="97"/>
      <c r="S15" s="118"/>
      <c r="T15" s="118"/>
      <c r="U15" s="97"/>
      <c r="V15" s="97"/>
      <c r="W15" s="118"/>
      <c r="X15" s="118"/>
      <c r="Y15" s="97"/>
      <c r="Z15" s="97"/>
      <c r="AA15" s="118"/>
      <c r="AB15" s="118"/>
      <c r="AC15" s="97"/>
      <c r="AD15" s="97"/>
      <c r="AE15" s="24"/>
      <c r="AF15" s="24"/>
      <c r="AG15" s="24"/>
      <c r="AH15" s="24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</row>
    <row r="16" spans="1:48" ht="14.25" customHeight="1" x14ac:dyDescent="0.2">
      <c r="A16" s="96"/>
      <c r="B16" s="96"/>
      <c r="C16" s="118"/>
      <c r="D16" s="118"/>
      <c r="E16" s="97"/>
      <c r="F16" s="97"/>
      <c r="G16" s="118"/>
      <c r="H16" s="118"/>
      <c r="I16" s="97"/>
      <c r="J16" s="97"/>
      <c r="K16" s="118"/>
      <c r="L16" s="118"/>
      <c r="M16" s="97"/>
      <c r="N16" s="97"/>
      <c r="O16" s="118"/>
      <c r="P16" s="118"/>
      <c r="Q16" s="97"/>
      <c r="R16" s="97"/>
      <c r="S16" s="118"/>
      <c r="T16" s="118"/>
      <c r="U16" s="97"/>
      <c r="V16" s="97"/>
      <c r="W16" s="118"/>
      <c r="X16" s="118"/>
      <c r="Y16" s="97"/>
      <c r="Z16" s="97"/>
      <c r="AA16" s="118"/>
      <c r="AB16" s="118"/>
      <c r="AC16" s="97"/>
      <c r="AD16" s="97"/>
      <c r="AE16" s="24"/>
      <c r="AF16" s="24"/>
      <c r="AG16" s="24"/>
      <c r="AH16" s="24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</row>
    <row r="17" spans="1:48" ht="14.25" customHeight="1" x14ac:dyDescent="0.2">
      <c r="A17" s="96"/>
      <c r="B17" s="96"/>
      <c r="C17" s="118"/>
      <c r="D17" s="118"/>
      <c r="E17" s="97"/>
      <c r="F17" s="97"/>
      <c r="G17" s="118"/>
      <c r="H17" s="118"/>
      <c r="I17" s="97"/>
      <c r="J17" s="97"/>
      <c r="K17" s="118"/>
      <c r="L17" s="118"/>
      <c r="M17" s="97"/>
      <c r="N17" s="97"/>
      <c r="O17" s="118"/>
      <c r="P17" s="118"/>
      <c r="Q17" s="97"/>
      <c r="R17" s="97"/>
      <c r="S17" s="118"/>
      <c r="T17" s="118"/>
      <c r="U17" s="97"/>
      <c r="V17" s="97"/>
      <c r="W17" s="118"/>
      <c r="X17" s="118"/>
      <c r="Y17" s="97"/>
      <c r="Z17" s="97"/>
      <c r="AA17" s="118"/>
      <c r="AB17" s="118"/>
      <c r="AC17" s="97"/>
      <c r="AD17" s="97"/>
      <c r="AE17" s="24"/>
      <c r="AF17" s="24"/>
      <c r="AG17" s="24"/>
      <c r="AH17" s="24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</row>
    <row r="18" spans="1:48" ht="14.25" customHeight="1" x14ac:dyDescent="0.2">
      <c r="A18" s="96"/>
      <c r="B18" s="96"/>
      <c r="C18" s="118"/>
      <c r="D18" s="118"/>
      <c r="E18" s="97"/>
      <c r="F18" s="97"/>
      <c r="G18" s="118"/>
      <c r="H18" s="118"/>
      <c r="I18" s="97"/>
      <c r="J18" s="97"/>
      <c r="K18" s="118"/>
      <c r="L18" s="118"/>
      <c r="M18" s="97"/>
      <c r="N18" s="97"/>
      <c r="O18" s="118"/>
      <c r="P18" s="118"/>
      <c r="Q18" s="97"/>
      <c r="R18" s="97"/>
      <c r="S18" s="118"/>
      <c r="T18" s="118"/>
      <c r="U18" s="97"/>
      <c r="V18" s="97"/>
      <c r="W18" s="118"/>
      <c r="X18" s="118"/>
      <c r="Y18" s="97"/>
      <c r="Z18" s="97"/>
      <c r="AA18" s="118"/>
      <c r="AB18" s="118"/>
      <c r="AC18" s="97"/>
      <c r="AD18" s="97"/>
      <c r="AE18" s="24"/>
      <c r="AF18" s="24"/>
      <c r="AG18" s="24"/>
      <c r="AH18" s="24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</row>
    <row r="19" spans="1:48" ht="14.25" customHeight="1" x14ac:dyDescent="0.2">
      <c r="A19" s="96"/>
      <c r="B19" s="96"/>
      <c r="C19" s="118"/>
      <c r="D19" s="118"/>
      <c r="E19" s="97"/>
      <c r="F19" s="97"/>
      <c r="G19" s="118"/>
      <c r="H19" s="118"/>
      <c r="I19" s="97"/>
      <c r="J19" s="97"/>
      <c r="K19" s="118"/>
      <c r="L19" s="118"/>
      <c r="M19" s="97"/>
      <c r="N19" s="97"/>
      <c r="O19" s="118"/>
      <c r="P19" s="118"/>
      <c r="Q19" s="97"/>
      <c r="R19" s="97"/>
      <c r="S19" s="118"/>
      <c r="T19" s="118"/>
      <c r="U19" s="97"/>
      <c r="V19" s="97"/>
      <c r="W19" s="118"/>
      <c r="X19" s="118"/>
      <c r="Y19" s="97"/>
      <c r="Z19" s="97"/>
      <c r="AA19" s="118"/>
      <c r="AB19" s="118"/>
      <c r="AC19" s="97"/>
      <c r="AD19" s="97"/>
      <c r="AE19" s="24"/>
      <c r="AF19" s="24"/>
      <c r="AG19" s="24"/>
      <c r="AH19" s="24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</row>
    <row r="20" spans="1:48" ht="14.25" customHeight="1" x14ac:dyDescent="0.2">
      <c r="A20" s="96"/>
      <c r="B20" s="96"/>
      <c r="C20" s="118"/>
      <c r="D20" s="118"/>
      <c r="E20" s="97"/>
      <c r="F20" s="97"/>
      <c r="G20" s="118"/>
      <c r="H20" s="118"/>
      <c r="I20" s="97"/>
      <c r="J20" s="97"/>
      <c r="K20" s="118"/>
      <c r="L20" s="118"/>
      <c r="M20" s="97"/>
      <c r="N20" s="97"/>
      <c r="O20" s="118"/>
      <c r="P20" s="118"/>
      <c r="Q20" s="97"/>
      <c r="R20" s="97"/>
      <c r="S20" s="118"/>
      <c r="T20" s="118"/>
      <c r="U20" s="97"/>
      <c r="V20" s="97"/>
      <c r="W20" s="118"/>
      <c r="X20" s="118"/>
      <c r="Y20" s="97"/>
      <c r="Z20" s="97"/>
      <c r="AA20" s="118"/>
      <c r="AB20" s="118"/>
      <c r="AC20" s="97"/>
      <c r="AD20" s="97"/>
      <c r="AE20" s="24"/>
      <c r="AF20" s="24"/>
      <c r="AG20" s="24"/>
      <c r="AH20" s="24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</row>
    <row r="21" spans="1:48" ht="15.75" customHeight="1" x14ac:dyDescent="0.2">
      <c r="A21" s="96"/>
      <c r="B21" s="96"/>
      <c r="C21" s="118"/>
      <c r="D21" s="118"/>
      <c r="E21" s="97"/>
      <c r="F21" s="97"/>
      <c r="G21" s="118"/>
      <c r="H21" s="118"/>
      <c r="I21" s="97"/>
      <c r="J21" s="97"/>
      <c r="K21" s="118"/>
      <c r="L21" s="118"/>
      <c r="M21" s="97"/>
      <c r="N21" s="97"/>
      <c r="O21" s="118"/>
      <c r="P21" s="118"/>
      <c r="Q21" s="97"/>
      <c r="R21" s="97"/>
      <c r="S21" s="118"/>
      <c r="T21" s="118"/>
      <c r="U21" s="97"/>
      <c r="V21" s="97"/>
      <c r="W21" s="118"/>
      <c r="X21" s="118"/>
      <c r="Y21" s="97"/>
      <c r="Z21" s="97"/>
      <c r="AA21" s="118"/>
      <c r="AB21" s="118"/>
      <c r="AC21" s="97"/>
      <c r="AD21" s="97"/>
      <c r="AE21" s="24"/>
      <c r="AF21" s="24"/>
      <c r="AG21" s="24"/>
      <c r="AH21" s="24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</row>
    <row r="22" spans="1:48" ht="15.75" customHeight="1" x14ac:dyDescent="0.2">
      <c r="A22" s="96"/>
      <c r="B22" s="96"/>
      <c r="C22" s="118"/>
      <c r="D22" s="118"/>
      <c r="E22" s="97"/>
      <c r="F22" s="97"/>
      <c r="G22" s="118"/>
      <c r="H22" s="118"/>
      <c r="I22" s="97"/>
      <c r="J22" s="97"/>
      <c r="K22" s="118"/>
      <c r="L22" s="118"/>
      <c r="M22" s="97"/>
      <c r="N22" s="97"/>
      <c r="O22" s="118"/>
      <c r="P22" s="118"/>
      <c r="Q22" s="97"/>
      <c r="R22" s="97"/>
      <c r="S22" s="118"/>
      <c r="T22" s="118"/>
      <c r="U22" s="97"/>
      <c r="V22" s="97"/>
      <c r="W22" s="118"/>
      <c r="X22" s="118"/>
      <c r="Y22" s="97"/>
      <c r="Z22" s="97"/>
      <c r="AA22" s="118"/>
      <c r="AB22" s="118"/>
      <c r="AC22" s="97"/>
      <c r="AD22" s="97"/>
      <c r="AE22" s="24"/>
      <c r="AF22" s="24"/>
      <c r="AG22" s="24"/>
      <c r="AH22" s="24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</row>
    <row r="23" spans="1:48" ht="15.75" customHeight="1" x14ac:dyDescent="0.2">
      <c r="A23" s="96"/>
      <c r="B23" s="96"/>
      <c r="C23" s="118"/>
      <c r="D23" s="118"/>
      <c r="E23" s="97"/>
      <c r="F23" s="97"/>
      <c r="G23" s="118"/>
      <c r="H23" s="118"/>
      <c r="I23" s="97"/>
      <c r="J23" s="97"/>
      <c r="K23" s="118"/>
      <c r="L23" s="118"/>
      <c r="M23" s="97"/>
      <c r="N23" s="97"/>
      <c r="O23" s="118"/>
      <c r="P23" s="118"/>
      <c r="Q23" s="97"/>
      <c r="R23" s="97"/>
      <c r="S23" s="118"/>
      <c r="T23" s="118"/>
      <c r="U23" s="97"/>
      <c r="V23" s="97"/>
      <c r="W23" s="118"/>
      <c r="X23" s="118"/>
      <c r="Y23" s="97"/>
      <c r="Z23" s="97"/>
      <c r="AA23" s="118"/>
      <c r="AB23" s="118"/>
      <c r="AC23" s="97"/>
      <c r="AD23" s="97"/>
      <c r="AE23" s="24"/>
      <c r="AF23" s="24"/>
      <c r="AG23" s="24"/>
      <c r="AH23" s="24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</row>
    <row r="24" spans="1:48" ht="15.75" customHeight="1" x14ac:dyDescent="0.2">
      <c r="A24" s="96"/>
      <c r="B24" s="96"/>
      <c r="C24" s="118"/>
      <c r="D24" s="118"/>
      <c r="E24" s="97"/>
      <c r="F24" s="97"/>
      <c r="G24" s="118"/>
      <c r="H24" s="118"/>
      <c r="I24" s="97"/>
      <c r="J24" s="97"/>
      <c r="K24" s="118"/>
      <c r="L24" s="118"/>
      <c r="M24" s="97"/>
      <c r="N24" s="97"/>
      <c r="O24" s="118"/>
      <c r="P24" s="118"/>
      <c r="Q24" s="97"/>
      <c r="R24" s="97"/>
      <c r="S24" s="118"/>
      <c r="T24" s="118"/>
      <c r="U24" s="97"/>
      <c r="V24" s="97"/>
      <c r="W24" s="118"/>
      <c r="X24" s="118"/>
      <c r="Y24" s="97"/>
      <c r="Z24" s="97"/>
      <c r="AA24" s="118"/>
      <c r="AB24" s="118"/>
      <c r="AC24" s="97"/>
      <c r="AD24" s="97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</row>
    <row r="25" spans="1:48" ht="15.75" customHeight="1" x14ac:dyDescent="0.25">
      <c r="A25" s="2"/>
      <c r="B25" s="6"/>
      <c r="C25" s="6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</row>
    <row r="26" spans="1:48" ht="14.25" customHeight="1" x14ac:dyDescent="0.2">
      <c r="A26" s="172" t="s">
        <v>70</v>
      </c>
      <c r="B26" s="123"/>
      <c r="C26" s="173">
        <f>COUNT(C9:C24)</f>
        <v>0</v>
      </c>
      <c r="D26" s="122"/>
      <c r="E26" s="122"/>
      <c r="F26" s="123"/>
      <c r="G26" s="173">
        <f>COUNT(G9:G24)</f>
        <v>0</v>
      </c>
      <c r="H26" s="122"/>
      <c r="I26" s="122"/>
      <c r="J26" s="123"/>
      <c r="K26" s="173">
        <f>COUNT(K9:K24)</f>
        <v>0</v>
      </c>
      <c r="L26" s="122"/>
      <c r="M26" s="122"/>
      <c r="N26" s="123"/>
      <c r="O26" s="173">
        <f>COUNT(O9:O24)</f>
        <v>0</v>
      </c>
      <c r="P26" s="122"/>
      <c r="Q26" s="122"/>
      <c r="R26" s="123"/>
      <c r="S26" s="173">
        <f>COUNT(S9:S24)</f>
        <v>0</v>
      </c>
      <c r="T26" s="122"/>
      <c r="U26" s="122"/>
      <c r="V26" s="123"/>
      <c r="W26" s="173">
        <f>COUNT(W9:W24)</f>
        <v>0</v>
      </c>
      <c r="X26" s="122"/>
      <c r="Y26" s="122"/>
      <c r="Z26" s="123"/>
      <c r="AA26" s="173">
        <f>COUNT(AA9:AA24)</f>
        <v>0</v>
      </c>
      <c r="AB26" s="122"/>
      <c r="AC26" s="122"/>
      <c r="AD26" s="123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</row>
    <row r="27" spans="1:48" ht="15.75" customHeight="1" x14ac:dyDescent="0.2">
      <c r="A27" s="172" t="s">
        <v>30</v>
      </c>
      <c r="B27" s="123"/>
      <c r="C27" s="171">
        <f>COUNTIF(C9:C23,"Absent")</f>
        <v>0</v>
      </c>
      <c r="D27" s="122"/>
      <c r="E27" s="122"/>
      <c r="F27" s="123"/>
      <c r="G27" s="171">
        <f>COUNTIF(G9:G23,"Absent")</f>
        <v>0</v>
      </c>
      <c r="H27" s="122"/>
      <c r="I27" s="122"/>
      <c r="J27" s="123"/>
      <c r="K27" s="171">
        <f>COUNTIF(K9:K23,"Absent")</f>
        <v>0</v>
      </c>
      <c r="L27" s="122"/>
      <c r="M27" s="122"/>
      <c r="N27" s="123"/>
      <c r="O27" s="171">
        <f>COUNTIF(O9:O23,"Absent")</f>
        <v>0</v>
      </c>
      <c r="P27" s="122"/>
      <c r="Q27" s="122"/>
      <c r="R27" s="123"/>
      <c r="S27" s="171">
        <f>COUNTIF(S9:S23,"Absent")</f>
        <v>0</v>
      </c>
      <c r="T27" s="122"/>
      <c r="U27" s="122"/>
      <c r="V27" s="123"/>
      <c r="W27" s="171">
        <f>COUNTIF(W9:W23,"Absent")</f>
        <v>0</v>
      </c>
      <c r="X27" s="122"/>
      <c r="Y27" s="122"/>
      <c r="Z27" s="123"/>
      <c r="AA27" s="171">
        <f>COUNTIF(AA9:AA23,"Absent")</f>
        <v>0</v>
      </c>
      <c r="AB27" s="122"/>
      <c r="AC27" s="122"/>
      <c r="AD27" s="123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</row>
    <row r="28" spans="1:48" ht="15.75" customHeight="1" x14ac:dyDescent="0.2">
      <c r="A28" s="170" t="s">
        <v>24</v>
      </c>
      <c r="B28" s="123"/>
      <c r="C28" s="171">
        <f>COUNTIF(C9:C23,"Leave")+COUNTIF(C9:C23,"VL")</f>
        <v>0</v>
      </c>
      <c r="D28" s="122"/>
      <c r="E28" s="122"/>
      <c r="F28" s="123"/>
      <c r="G28" s="171">
        <f>COUNTIF(G9:G23,"Leave")+COUNTIF(G9:G23,"VL")</f>
        <v>0</v>
      </c>
      <c r="H28" s="122"/>
      <c r="I28" s="122"/>
      <c r="J28" s="123"/>
      <c r="K28" s="171">
        <f>COUNTIF(K9:K23,"Leave")+COUNTIF(K9:K23,"VL")</f>
        <v>0</v>
      </c>
      <c r="L28" s="122"/>
      <c r="M28" s="122"/>
      <c r="N28" s="123"/>
      <c r="O28" s="171">
        <f>COUNTIF(O9:O23,"Leave")+COUNTIF(O9:O23,"VL")</f>
        <v>0</v>
      </c>
      <c r="P28" s="122"/>
      <c r="Q28" s="122"/>
      <c r="R28" s="123"/>
      <c r="S28" s="171">
        <f>COUNTIF(S9:S23,"Leave")+COUNTIF(S9:S23,"VL")</f>
        <v>0</v>
      </c>
      <c r="T28" s="122"/>
      <c r="U28" s="122"/>
      <c r="V28" s="123"/>
      <c r="W28" s="171">
        <f>COUNTIF(W9:W23,"Leave")+COUNTIF(W9:W23,"VL")</f>
        <v>0</v>
      </c>
      <c r="X28" s="122"/>
      <c r="Y28" s="122"/>
      <c r="Z28" s="123"/>
      <c r="AA28" s="171">
        <f>COUNTIF(AA9:AA23,"Leave")+COUNTIF(AA9:AA23,"VL")</f>
        <v>0</v>
      </c>
      <c r="AB28" s="122"/>
      <c r="AC28" s="122"/>
      <c r="AD28" s="123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</row>
    <row r="29" spans="1:48" ht="15.75" customHeight="1" x14ac:dyDescent="0.2">
      <c r="A29" s="170" t="s">
        <v>26</v>
      </c>
      <c r="B29" s="123"/>
      <c r="C29" s="174">
        <f>COUNTIF(C9:C23,"SL")</f>
        <v>0</v>
      </c>
      <c r="D29" s="122"/>
      <c r="E29" s="122"/>
      <c r="F29" s="123"/>
      <c r="G29" s="174">
        <f>COUNTIF(G9:G23,"SL")</f>
        <v>0</v>
      </c>
      <c r="H29" s="122"/>
      <c r="I29" s="122"/>
      <c r="J29" s="123"/>
      <c r="K29" s="174">
        <f>COUNTIF(K9:K23,"SL")</f>
        <v>0</v>
      </c>
      <c r="L29" s="122"/>
      <c r="M29" s="122"/>
      <c r="N29" s="123"/>
      <c r="O29" s="174">
        <f>COUNTIF(O9:O23,"SL")</f>
        <v>0</v>
      </c>
      <c r="P29" s="122"/>
      <c r="Q29" s="122"/>
      <c r="R29" s="123"/>
      <c r="S29" s="174">
        <f>COUNTIF(S9:S23,"SL")</f>
        <v>0</v>
      </c>
      <c r="T29" s="122"/>
      <c r="U29" s="122"/>
      <c r="V29" s="123"/>
      <c r="W29" s="174">
        <f>COUNTIF(W9:W23,"SL")</f>
        <v>0</v>
      </c>
      <c r="X29" s="122"/>
      <c r="Y29" s="122"/>
      <c r="Z29" s="123"/>
      <c r="AA29" s="174">
        <f>COUNTIF(AA9:AA23,"SL")</f>
        <v>0</v>
      </c>
      <c r="AB29" s="122"/>
      <c r="AC29" s="122"/>
      <c r="AD29" s="123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</row>
    <row r="30" spans="1:48" ht="15.75" customHeight="1" x14ac:dyDescent="0.2">
      <c r="A30" s="170" t="s">
        <v>76</v>
      </c>
      <c r="B30" s="123"/>
      <c r="C30" s="171">
        <f t="array" ref="C30">SUM(COUNTIF(C9:C24,{"ML","PL","Maternal Leave","Paternity Leave"}))</f>
        <v>0</v>
      </c>
      <c r="D30" s="122"/>
      <c r="E30" s="122"/>
      <c r="F30" s="123"/>
      <c r="G30" s="171">
        <f t="array" ref="G30">SUM(COUNTIF(G9:G24,{"ML","PL","Maternal Leave","Paternity Leave"}))</f>
        <v>0</v>
      </c>
      <c r="H30" s="122"/>
      <c r="I30" s="122"/>
      <c r="J30" s="123"/>
      <c r="K30" s="171">
        <f t="array" ref="K30">SUM(COUNTIF(K9:K24,{"ML","PL","Maternal Leave","Paternity Leave"}))</f>
        <v>0</v>
      </c>
      <c r="L30" s="122"/>
      <c r="M30" s="122"/>
      <c r="N30" s="123"/>
      <c r="O30" s="171">
        <f t="array" ref="O30">SUM(COUNTIF(O9:O24,{"ML","PL","Maternal Leave","Paternity Leave"}))</f>
        <v>0</v>
      </c>
      <c r="P30" s="122"/>
      <c r="Q30" s="122"/>
      <c r="R30" s="123"/>
      <c r="S30" s="171">
        <f t="array" ref="S30">SUM(COUNTIF(S9:S24,{"ML","PL","Maternal Leave","Paternity Leave"}))</f>
        <v>0</v>
      </c>
      <c r="T30" s="122"/>
      <c r="U30" s="122"/>
      <c r="V30" s="123"/>
      <c r="W30" s="171">
        <f t="array" ref="W30">SUM(COUNTIF(W9:W24,{"ML","PL","Maternal Leave","Paternity Leave"}))</f>
        <v>0</v>
      </c>
      <c r="X30" s="122"/>
      <c r="Y30" s="122"/>
      <c r="Z30" s="123"/>
      <c r="AA30" s="171">
        <f t="array" ref="AA30">SUM(COUNTIF(AA9:AA24,{"ML","PL","Maternal Leave","Paternity Leave"}))</f>
        <v>0</v>
      </c>
      <c r="AB30" s="122"/>
      <c r="AC30" s="122"/>
      <c r="AD30" s="123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</row>
    <row r="31" spans="1:48" ht="15.75" customHeight="1" x14ac:dyDescent="0.25">
      <c r="A31" s="2"/>
      <c r="B31" s="2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69"/>
      <c r="Q31" s="69"/>
      <c r="R31" s="69"/>
      <c r="S31" s="69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</row>
    <row r="32" spans="1:48" ht="15.75" customHeight="1" x14ac:dyDescent="0.25">
      <c r="A32" s="2"/>
      <c r="B32" s="2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69"/>
      <c r="Q32" s="69"/>
      <c r="R32" s="69"/>
      <c r="S32" s="69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</row>
    <row r="33" spans="1:48" ht="15.75" customHeight="1" x14ac:dyDescent="0.25">
      <c r="A33" s="2"/>
      <c r="B33" s="2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69"/>
      <c r="Q33" s="69"/>
      <c r="R33" s="69"/>
      <c r="S33" s="69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</row>
    <row r="34" spans="1:48" ht="15.75" customHeight="1" x14ac:dyDescent="0.25">
      <c r="A34" s="2"/>
      <c r="B34" s="2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69"/>
      <c r="Q34" s="69"/>
      <c r="R34" s="69"/>
      <c r="S34" s="69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</row>
    <row r="35" spans="1:48" ht="15.75" customHeight="1" x14ac:dyDescent="0.25">
      <c r="A35" s="2"/>
      <c r="B35" s="2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69"/>
      <c r="Q35" s="69"/>
      <c r="R35" s="69"/>
      <c r="S35" s="69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</row>
    <row r="36" spans="1:48" ht="15.75" customHeight="1" x14ac:dyDescent="0.25">
      <c r="A36" s="2"/>
      <c r="B36" s="2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</row>
    <row r="37" spans="1:48" ht="15.75" customHeight="1" x14ac:dyDescent="0.25">
      <c r="A37" s="2"/>
      <c r="B37" s="2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69"/>
      <c r="Q37" s="69"/>
      <c r="R37" s="69"/>
      <c r="S37" s="69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</row>
    <row r="38" spans="1:48" ht="15.75" customHeight="1" x14ac:dyDescent="0.25">
      <c r="A38" s="2"/>
      <c r="B38" s="2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69"/>
      <c r="Q38" s="69"/>
      <c r="R38" s="69"/>
      <c r="S38" s="69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</row>
    <row r="39" spans="1:48" ht="15.75" customHeight="1" x14ac:dyDescent="0.25">
      <c r="A39" s="2"/>
      <c r="B39" s="2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69"/>
      <c r="Q39" s="69"/>
      <c r="R39" s="69"/>
      <c r="S39" s="69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</row>
    <row r="40" spans="1:48" ht="15.75" customHeight="1" x14ac:dyDescent="0.25">
      <c r="A40" s="2"/>
      <c r="B40" s="2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69"/>
      <c r="Q40" s="69"/>
      <c r="R40" s="69"/>
      <c r="S40" s="69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</row>
    <row r="41" spans="1:48" ht="15.75" customHeight="1" x14ac:dyDescent="0.25">
      <c r="A41" s="2"/>
      <c r="B41" s="2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69"/>
      <c r="Q41" s="69"/>
      <c r="R41" s="69"/>
      <c r="S41" s="69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</row>
    <row r="42" spans="1:48" ht="15.75" customHeight="1" x14ac:dyDescent="0.25">
      <c r="A42" s="2"/>
      <c r="B42" s="2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69"/>
      <c r="Q42" s="69"/>
      <c r="R42" s="69"/>
      <c r="S42" s="69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</row>
    <row r="43" spans="1:48" ht="15.75" customHeight="1" x14ac:dyDescent="0.25">
      <c r="A43" s="2"/>
      <c r="B43" s="2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</row>
    <row r="44" spans="1:48" ht="15.75" customHeight="1" x14ac:dyDescent="0.25">
      <c r="A44" s="2"/>
      <c r="B44" s="2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</row>
    <row r="45" spans="1:48" ht="15.75" customHeight="1" x14ac:dyDescent="0.25">
      <c r="A45" s="2"/>
      <c r="B45" s="2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</row>
    <row r="46" spans="1:48" ht="15.75" customHeight="1" x14ac:dyDescent="0.25">
      <c r="A46" s="2"/>
      <c r="B46" s="2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</row>
    <row r="47" spans="1:48" ht="15.75" customHeight="1" x14ac:dyDescent="0.25">
      <c r="A47" s="2"/>
      <c r="B47" s="2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</row>
    <row r="48" spans="1:48" ht="15.75" customHeight="1" x14ac:dyDescent="0.25">
      <c r="A48" s="2"/>
      <c r="B48" s="2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</row>
    <row r="49" spans="1:48" ht="15.75" customHeight="1" x14ac:dyDescent="0.25">
      <c r="A49" s="2"/>
      <c r="B49" s="2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</row>
    <row r="50" spans="1:48" ht="15.75" customHeight="1" x14ac:dyDescent="0.25">
      <c r="A50" s="2"/>
      <c r="B50" s="2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</row>
    <row r="51" spans="1:48" ht="15.75" customHeight="1" x14ac:dyDescent="0.25">
      <c r="A51" s="2"/>
      <c r="B51" s="2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</row>
    <row r="52" spans="1:48" ht="15.75" customHeight="1" x14ac:dyDescent="0.25">
      <c r="A52" s="2"/>
      <c r="B52" s="2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</row>
    <row r="53" spans="1:48" ht="15.75" customHeight="1" x14ac:dyDescent="0.25">
      <c r="A53" s="2"/>
      <c r="B53" s="2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</row>
    <row r="54" spans="1:48" ht="15.75" customHeight="1" x14ac:dyDescent="0.25">
      <c r="A54" s="2"/>
      <c r="B54" s="2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</row>
    <row r="55" spans="1:48" ht="15.75" customHeight="1" x14ac:dyDescent="0.25">
      <c r="A55" s="2"/>
      <c r="B55" s="2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</row>
    <row r="56" spans="1:48" ht="15.75" customHeight="1" x14ac:dyDescent="0.25">
      <c r="A56" s="2"/>
      <c r="B56" s="2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</row>
    <row r="57" spans="1:48" ht="15.75" customHeight="1" x14ac:dyDescent="0.25">
      <c r="A57" s="2"/>
      <c r="B57" s="2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</row>
    <row r="58" spans="1:48" ht="15.75" customHeight="1" x14ac:dyDescent="0.25">
      <c r="A58" s="2"/>
      <c r="B58" s="2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</row>
    <row r="59" spans="1:48" ht="15.75" customHeight="1" x14ac:dyDescent="0.25">
      <c r="A59" s="2"/>
      <c r="B59" s="2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</row>
    <row r="60" spans="1:48" ht="15.75" customHeight="1" x14ac:dyDescent="0.25">
      <c r="A60" s="2"/>
      <c r="B60" s="2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</row>
    <row r="61" spans="1:48" ht="15.75" customHeight="1" x14ac:dyDescent="0.25">
      <c r="A61" s="2"/>
      <c r="B61" s="2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</row>
    <row r="62" spans="1:48" ht="15.75" customHeight="1" x14ac:dyDescent="0.25">
      <c r="A62" s="2"/>
      <c r="B62" s="2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</row>
    <row r="63" spans="1:48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</row>
    <row r="64" spans="1:48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</row>
    <row r="65" spans="1:48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</row>
    <row r="66" spans="1:48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</row>
    <row r="67" spans="1:48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</row>
    <row r="68" spans="1:48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</row>
    <row r="69" spans="1:48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</row>
    <row r="70" spans="1:48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</row>
    <row r="71" spans="1:48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</row>
    <row r="72" spans="1:48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</row>
    <row r="73" spans="1:48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</row>
    <row r="74" spans="1:48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</row>
    <row r="75" spans="1:48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</row>
    <row r="76" spans="1:48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</row>
    <row r="77" spans="1:48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</row>
    <row r="78" spans="1:48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</row>
    <row r="79" spans="1:48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</row>
    <row r="80" spans="1:48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</row>
    <row r="81" spans="1:48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</row>
    <row r="82" spans="1:48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</row>
    <row r="83" spans="1:48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</row>
    <row r="84" spans="1:48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</row>
    <row r="85" spans="1:48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</row>
    <row r="86" spans="1:48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</row>
    <row r="87" spans="1:48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</row>
    <row r="88" spans="1:48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</row>
    <row r="89" spans="1:48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</row>
    <row r="90" spans="1:48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</row>
    <row r="91" spans="1:48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</row>
    <row r="92" spans="1:48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</row>
    <row r="93" spans="1:48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</row>
    <row r="94" spans="1:48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</row>
    <row r="95" spans="1:48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</row>
    <row r="96" spans="1:48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</row>
    <row r="97" spans="1:48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</row>
    <row r="98" spans="1:48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</row>
    <row r="99" spans="1:48" ht="14.25" customHeight="1" x14ac:dyDescent="0.2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</row>
    <row r="100" spans="1:48" ht="14.25" customHeight="1" x14ac:dyDescent="0.2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</row>
    <row r="101" spans="1:48" ht="14.25" customHeight="1" x14ac:dyDescent="0.2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</row>
    <row r="102" spans="1:48" ht="14.25" customHeight="1" x14ac:dyDescent="0.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</row>
    <row r="103" spans="1:48" ht="14.25" customHeight="1" x14ac:dyDescent="0.2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</row>
    <row r="104" spans="1:48" ht="14.25" customHeight="1" x14ac:dyDescent="0.2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</row>
    <row r="105" spans="1:48" ht="14.25" customHeight="1" x14ac:dyDescent="0.2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</row>
    <row r="106" spans="1:48" ht="14.25" customHeight="1" x14ac:dyDescent="0.2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</row>
    <row r="107" spans="1:48" ht="14.25" customHeight="1" x14ac:dyDescent="0.2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</row>
    <row r="108" spans="1:48" ht="14.25" customHeight="1" x14ac:dyDescent="0.2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</row>
    <row r="109" spans="1:48" ht="14.25" customHeight="1" x14ac:dyDescent="0.2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</row>
    <row r="110" spans="1:48" ht="14.25" customHeight="1" x14ac:dyDescent="0.2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</row>
    <row r="111" spans="1:48" ht="14.25" customHeight="1" x14ac:dyDescent="0.2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</row>
    <row r="112" spans="1:48" ht="14.25" customHeight="1" x14ac:dyDescent="0.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</row>
    <row r="113" spans="1:48" ht="14.25" customHeight="1" x14ac:dyDescent="0.2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</row>
    <row r="114" spans="1:48" ht="14.25" customHeight="1" x14ac:dyDescent="0.2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</row>
    <row r="115" spans="1:48" ht="14.25" customHeight="1" x14ac:dyDescent="0.2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</row>
    <row r="116" spans="1:48" ht="14.25" customHeight="1" x14ac:dyDescent="0.2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</row>
    <row r="117" spans="1:48" ht="14.25" customHeight="1" x14ac:dyDescent="0.2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</row>
    <row r="118" spans="1:48" ht="14.25" customHeight="1" x14ac:dyDescent="0.2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</row>
    <row r="119" spans="1:48" ht="14.25" customHeight="1" x14ac:dyDescent="0.2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</row>
    <row r="120" spans="1:48" ht="14.25" customHeight="1" x14ac:dyDescent="0.2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</row>
    <row r="121" spans="1:48" ht="14.25" customHeight="1" x14ac:dyDescent="0.2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</row>
    <row r="122" spans="1:48" ht="14.25" customHeight="1" x14ac:dyDescent="0.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</row>
    <row r="123" spans="1:48" ht="14.25" customHeight="1" x14ac:dyDescent="0.2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</row>
    <row r="124" spans="1:48" ht="14.25" customHeight="1" x14ac:dyDescent="0.2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</row>
    <row r="125" spans="1:48" ht="14.25" customHeight="1" x14ac:dyDescent="0.2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</row>
    <row r="126" spans="1:48" ht="14.25" customHeight="1" x14ac:dyDescent="0.2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</row>
    <row r="127" spans="1:48" ht="14.25" customHeight="1" x14ac:dyDescent="0.2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</row>
    <row r="128" spans="1:48" ht="14.25" customHeight="1" x14ac:dyDescent="0.2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</row>
    <row r="129" spans="1:48" ht="14.25" customHeight="1" x14ac:dyDescent="0.2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</row>
    <row r="130" spans="1:48" ht="14.25" customHeight="1" x14ac:dyDescent="0.2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</row>
    <row r="131" spans="1:48" ht="14.25" customHeight="1" x14ac:dyDescent="0.2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</row>
    <row r="132" spans="1:48" ht="14.25" customHeight="1" x14ac:dyDescent="0.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</row>
    <row r="133" spans="1:48" ht="14.25" customHeight="1" x14ac:dyDescent="0.2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</row>
    <row r="134" spans="1:48" ht="14.25" customHeight="1" x14ac:dyDescent="0.2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</row>
    <row r="135" spans="1:48" ht="14.25" customHeight="1" x14ac:dyDescent="0.2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</row>
    <row r="136" spans="1:48" ht="14.25" customHeight="1" x14ac:dyDescent="0.2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</row>
    <row r="137" spans="1:48" ht="14.25" customHeight="1" x14ac:dyDescent="0.2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</row>
    <row r="138" spans="1:48" ht="14.25" customHeight="1" x14ac:dyDescent="0.2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</row>
    <row r="139" spans="1:48" ht="14.25" customHeight="1" x14ac:dyDescent="0.2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</row>
    <row r="140" spans="1:48" ht="14.25" customHeight="1" x14ac:dyDescent="0.2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</row>
    <row r="141" spans="1:48" ht="14.25" customHeight="1" x14ac:dyDescent="0.2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</row>
    <row r="142" spans="1:48" ht="14.25" customHeight="1" x14ac:dyDescent="0.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</row>
    <row r="143" spans="1:48" ht="14.25" customHeight="1" x14ac:dyDescent="0.2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</row>
    <row r="144" spans="1:48" ht="14.25" customHeight="1" x14ac:dyDescent="0.2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</row>
    <row r="145" spans="1:48" ht="14.25" customHeight="1" x14ac:dyDescent="0.2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</row>
    <row r="146" spans="1:48" ht="14.25" customHeight="1" x14ac:dyDescent="0.2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</row>
    <row r="147" spans="1:48" ht="14.25" customHeight="1" x14ac:dyDescent="0.2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</row>
    <row r="148" spans="1:48" ht="14.25" customHeight="1" x14ac:dyDescent="0.2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</row>
    <row r="149" spans="1:48" ht="14.25" customHeight="1" x14ac:dyDescent="0.2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</row>
    <row r="150" spans="1:48" ht="14.25" customHeight="1" x14ac:dyDescent="0.2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</row>
    <row r="151" spans="1:48" ht="14.25" customHeight="1" x14ac:dyDescent="0.2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</row>
    <row r="152" spans="1:48" ht="14.25" customHeight="1" x14ac:dyDescent="0.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</row>
    <row r="153" spans="1:48" ht="14.25" customHeight="1" x14ac:dyDescent="0.2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</row>
    <row r="154" spans="1:48" ht="14.25" customHeight="1" x14ac:dyDescent="0.2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</row>
    <row r="155" spans="1:48" ht="14.25" customHeight="1" x14ac:dyDescent="0.2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</row>
    <row r="156" spans="1:48" ht="14.25" customHeight="1" x14ac:dyDescent="0.2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</row>
    <row r="157" spans="1:48" ht="14.25" customHeight="1" x14ac:dyDescent="0.2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</row>
    <row r="158" spans="1:48" ht="14.25" customHeight="1" x14ac:dyDescent="0.2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</row>
    <row r="159" spans="1:48" ht="14.25" customHeight="1" x14ac:dyDescent="0.2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</row>
    <row r="160" spans="1:48" ht="14.25" customHeight="1" x14ac:dyDescent="0.2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</row>
    <row r="161" spans="1:48" ht="14.25" customHeight="1" x14ac:dyDescent="0.2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</row>
    <row r="162" spans="1:48" ht="14.25" customHeight="1" x14ac:dyDescent="0.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</row>
    <row r="163" spans="1:48" ht="14.25" customHeight="1" x14ac:dyDescent="0.2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</row>
    <row r="164" spans="1:48" ht="14.25" customHeight="1" x14ac:dyDescent="0.2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</row>
    <row r="165" spans="1:48" ht="14.25" customHeight="1" x14ac:dyDescent="0.2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</row>
    <row r="166" spans="1:48" ht="14.25" customHeight="1" x14ac:dyDescent="0.2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</row>
    <row r="167" spans="1:48" ht="14.25" customHeight="1" x14ac:dyDescent="0.2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</row>
    <row r="168" spans="1:48" ht="14.25" customHeight="1" x14ac:dyDescent="0.2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</row>
    <row r="169" spans="1:48" ht="14.25" customHeight="1" x14ac:dyDescent="0.2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</row>
    <row r="170" spans="1:48" ht="14.25" customHeight="1" x14ac:dyDescent="0.2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</row>
    <row r="171" spans="1:48" ht="14.25" customHeight="1" x14ac:dyDescent="0.2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</row>
    <row r="172" spans="1:48" ht="14.25" customHeight="1" x14ac:dyDescent="0.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</row>
    <row r="173" spans="1:48" ht="14.25" customHeight="1" x14ac:dyDescent="0.2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</row>
    <row r="174" spans="1:48" ht="14.25" customHeight="1" x14ac:dyDescent="0.2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</row>
    <row r="175" spans="1:48" ht="14.25" customHeight="1" x14ac:dyDescent="0.2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</row>
    <row r="176" spans="1:48" ht="14.25" customHeight="1" x14ac:dyDescent="0.2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</row>
    <row r="177" spans="1:48" ht="14.25" customHeight="1" x14ac:dyDescent="0.2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</row>
    <row r="178" spans="1:48" ht="14.25" customHeight="1" x14ac:dyDescent="0.2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</row>
    <row r="179" spans="1:48" ht="14.25" customHeight="1" x14ac:dyDescent="0.2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</row>
    <row r="180" spans="1:48" ht="14.25" customHeight="1" x14ac:dyDescent="0.2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</row>
    <row r="181" spans="1:48" ht="14.25" customHeight="1" x14ac:dyDescent="0.2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</row>
    <row r="182" spans="1:48" ht="14.25" customHeight="1" x14ac:dyDescent="0.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</row>
    <row r="183" spans="1:48" ht="14.25" customHeight="1" x14ac:dyDescent="0.2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</row>
    <row r="184" spans="1:48" ht="14.25" customHeight="1" x14ac:dyDescent="0.2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</row>
    <row r="185" spans="1:48" ht="14.25" customHeight="1" x14ac:dyDescent="0.2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</row>
    <row r="186" spans="1:48" ht="14.25" customHeight="1" x14ac:dyDescent="0.2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</row>
    <row r="187" spans="1:48" ht="14.25" customHeight="1" x14ac:dyDescent="0.2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</row>
    <row r="188" spans="1:48" ht="14.25" customHeight="1" x14ac:dyDescent="0.2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</row>
    <row r="189" spans="1:48" ht="14.25" customHeight="1" x14ac:dyDescent="0.2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</row>
    <row r="190" spans="1:48" ht="14.25" customHeight="1" x14ac:dyDescent="0.2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</row>
    <row r="191" spans="1:48" ht="14.25" customHeight="1" x14ac:dyDescent="0.2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</row>
    <row r="192" spans="1:48" ht="14.25" customHeight="1" x14ac:dyDescent="0.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</row>
    <row r="193" spans="1:48" ht="14.25" customHeight="1" x14ac:dyDescent="0.2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</row>
    <row r="194" spans="1:48" ht="14.25" customHeight="1" x14ac:dyDescent="0.2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</row>
    <row r="195" spans="1:48" ht="14.25" customHeight="1" x14ac:dyDescent="0.2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</row>
    <row r="196" spans="1:48" ht="14.25" customHeight="1" x14ac:dyDescent="0.2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</row>
    <row r="197" spans="1:48" ht="14.25" customHeight="1" x14ac:dyDescent="0.2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</row>
    <row r="198" spans="1:48" ht="14.25" customHeight="1" x14ac:dyDescent="0.2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</row>
    <row r="199" spans="1:48" ht="14.25" customHeight="1" x14ac:dyDescent="0.2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</row>
    <row r="200" spans="1:48" ht="14.25" customHeight="1" x14ac:dyDescent="0.2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</row>
    <row r="201" spans="1:48" ht="14.25" customHeight="1" x14ac:dyDescent="0.2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</row>
    <row r="202" spans="1:48" ht="14.25" customHeight="1" x14ac:dyDescent="0.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</row>
    <row r="203" spans="1:48" ht="14.25" customHeight="1" x14ac:dyDescent="0.2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</row>
    <row r="204" spans="1:48" ht="14.25" customHeight="1" x14ac:dyDescent="0.2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</row>
    <row r="205" spans="1:48" ht="14.25" customHeight="1" x14ac:dyDescent="0.2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</row>
    <row r="206" spans="1:48" ht="14.25" customHeight="1" x14ac:dyDescent="0.2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</row>
    <row r="207" spans="1:48" ht="14.25" customHeight="1" x14ac:dyDescent="0.2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</row>
    <row r="208" spans="1:48" ht="14.25" customHeight="1" x14ac:dyDescent="0.2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</row>
    <row r="209" spans="1:48" ht="14.25" customHeight="1" x14ac:dyDescent="0.2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</row>
    <row r="210" spans="1:48" ht="14.25" customHeight="1" x14ac:dyDescent="0.2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</row>
    <row r="211" spans="1:48" ht="14.25" customHeight="1" x14ac:dyDescent="0.2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</row>
    <row r="212" spans="1:48" ht="14.25" customHeight="1" x14ac:dyDescent="0.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</row>
    <row r="213" spans="1:48" ht="14.25" customHeight="1" x14ac:dyDescent="0.2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</row>
    <row r="214" spans="1:48" ht="14.25" customHeight="1" x14ac:dyDescent="0.2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</row>
    <row r="215" spans="1:48" ht="14.25" customHeight="1" x14ac:dyDescent="0.2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</row>
    <row r="216" spans="1:48" ht="14.25" customHeight="1" x14ac:dyDescent="0.2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</row>
    <row r="217" spans="1:48" ht="14.25" customHeight="1" x14ac:dyDescent="0.2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</row>
    <row r="218" spans="1:48" ht="14.25" customHeight="1" x14ac:dyDescent="0.2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</row>
    <row r="219" spans="1:48" ht="14.25" customHeight="1" x14ac:dyDescent="0.2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</row>
    <row r="220" spans="1:48" ht="14.25" customHeight="1" x14ac:dyDescent="0.2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</row>
    <row r="221" spans="1:48" ht="14.25" customHeight="1" x14ac:dyDescent="0.2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</row>
    <row r="222" spans="1:48" ht="14.25" customHeight="1" x14ac:dyDescent="0.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</row>
    <row r="223" spans="1:48" ht="14.25" customHeight="1" x14ac:dyDescent="0.2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</row>
    <row r="224" spans="1:48" ht="14.25" customHeight="1" x14ac:dyDescent="0.2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</row>
    <row r="225" spans="1:48" ht="14.25" customHeight="1" x14ac:dyDescent="0.2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</row>
    <row r="226" spans="1:48" ht="14.25" customHeight="1" x14ac:dyDescent="0.2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</row>
    <row r="227" spans="1:48" ht="14.25" customHeight="1" x14ac:dyDescent="0.2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</row>
    <row r="228" spans="1:48" ht="14.25" customHeight="1" x14ac:dyDescent="0.2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</row>
    <row r="229" spans="1:48" ht="14.25" customHeight="1" x14ac:dyDescent="0.2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</row>
    <row r="230" spans="1:48" ht="14.25" customHeight="1" x14ac:dyDescent="0.2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</row>
    <row r="231" spans="1:48" ht="14.25" customHeight="1" x14ac:dyDescent="0.2"/>
    <row r="232" spans="1:48" ht="14.25" customHeight="1" x14ac:dyDescent="0.2"/>
    <row r="233" spans="1:48" ht="14.25" customHeight="1" x14ac:dyDescent="0.2"/>
    <row r="234" spans="1:48" ht="14.25" customHeight="1" x14ac:dyDescent="0.2"/>
    <row r="235" spans="1:48" ht="14.25" customHeight="1" x14ac:dyDescent="0.2"/>
    <row r="236" spans="1:48" ht="14.25" customHeight="1" x14ac:dyDescent="0.2"/>
    <row r="237" spans="1:48" ht="14.25" customHeight="1" x14ac:dyDescent="0.2"/>
    <row r="238" spans="1:48" ht="14.25" customHeight="1" x14ac:dyDescent="0.2"/>
    <row r="239" spans="1:48" ht="14.25" customHeight="1" x14ac:dyDescent="0.2"/>
    <row r="240" spans="1:48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56">
    <mergeCell ref="C28:F28"/>
    <mergeCell ref="G28:J28"/>
    <mergeCell ref="K28:N28"/>
    <mergeCell ref="O28:R28"/>
    <mergeCell ref="S28:V28"/>
    <mergeCell ref="W28:Z28"/>
    <mergeCell ref="AA28:AD28"/>
    <mergeCell ref="A30:B30"/>
    <mergeCell ref="C30:F30"/>
    <mergeCell ref="G30:J30"/>
    <mergeCell ref="K30:N30"/>
    <mergeCell ref="O30:R30"/>
    <mergeCell ref="S30:V30"/>
    <mergeCell ref="W30:Z30"/>
    <mergeCell ref="AA30:AD30"/>
    <mergeCell ref="A28:B28"/>
    <mergeCell ref="A29:B29"/>
    <mergeCell ref="C29:F29"/>
    <mergeCell ref="G29:J29"/>
    <mergeCell ref="K29:N29"/>
    <mergeCell ref="O29:R29"/>
    <mergeCell ref="S29:V29"/>
    <mergeCell ref="AC7:AD7"/>
    <mergeCell ref="AE7:AF7"/>
    <mergeCell ref="O7:P7"/>
    <mergeCell ref="Q7:R7"/>
    <mergeCell ref="S7:T7"/>
    <mergeCell ref="U7:V7"/>
    <mergeCell ref="W7:X7"/>
    <mergeCell ref="Y7:Z7"/>
    <mergeCell ref="AA7:AB7"/>
    <mergeCell ref="AA26:AD26"/>
    <mergeCell ref="S27:V27"/>
    <mergeCell ref="W27:Z27"/>
    <mergeCell ref="AA27:AD27"/>
    <mergeCell ref="W29:Z29"/>
    <mergeCell ref="AA29:AD29"/>
    <mergeCell ref="W26:Z26"/>
    <mergeCell ref="A7:B7"/>
    <mergeCell ref="C7:D7"/>
    <mergeCell ref="E7:F7"/>
    <mergeCell ref="G7:H7"/>
    <mergeCell ref="I7:J7"/>
    <mergeCell ref="A26:B26"/>
    <mergeCell ref="C26:F26"/>
    <mergeCell ref="G26:J26"/>
    <mergeCell ref="K7:L7"/>
    <mergeCell ref="M7:N7"/>
    <mergeCell ref="O26:R26"/>
    <mergeCell ref="S26:V26"/>
    <mergeCell ref="K26:N26"/>
    <mergeCell ref="A27:B27"/>
    <mergeCell ref="C27:F27"/>
    <mergeCell ref="G27:J27"/>
    <mergeCell ref="K27:N27"/>
    <mergeCell ref="O27:R27"/>
  </mergeCells>
  <pageMargins left="0.7" right="0.7" top="1.9312499999999999" bottom="1.9312499999999999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C1000"/>
  <sheetViews>
    <sheetView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A9" sqref="A9:B24"/>
    </sheetView>
  </sheetViews>
  <sheetFormatPr defaultColWidth="12.625" defaultRowHeight="15" customHeight="1" x14ac:dyDescent="0.2"/>
  <cols>
    <col min="1" max="1" width="9.25" customWidth="1"/>
    <col min="2" max="2" width="7" customWidth="1"/>
    <col min="3" max="3" width="8.375" customWidth="1"/>
    <col min="4" max="4" width="9.375" customWidth="1"/>
    <col min="5" max="6" width="13" customWidth="1"/>
    <col min="7" max="7" width="12.125" customWidth="1"/>
    <col min="8" max="8" width="10" customWidth="1"/>
    <col min="9" max="10" width="13" customWidth="1"/>
    <col min="11" max="11" width="11.5" customWidth="1"/>
    <col min="12" max="12" width="12" customWidth="1"/>
    <col min="13" max="14" width="13" customWidth="1"/>
    <col min="15" max="15" width="12.375" customWidth="1"/>
    <col min="16" max="18" width="11.625" customWidth="1"/>
    <col min="19" max="19" width="10.875" customWidth="1"/>
    <col min="20" max="22" width="11.25" customWidth="1"/>
    <col min="23" max="23" width="10.625" customWidth="1"/>
    <col min="24" max="26" width="11.25" customWidth="1"/>
    <col min="27" max="28" width="11.5" customWidth="1"/>
    <col min="29" max="30" width="13" customWidth="1"/>
    <col min="31" max="31" width="11.5" customWidth="1"/>
    <col min="32" max="32" width="10.875" customWidth="1"/>
    <col min="33" max="34" width="11.75" customWidth="1"/>
    <col min="35" max="35" width="11.375" customWidth="1"/>
    <col min="36" max="38" width="12.125" customWidth="1"/>
    <col min="39" max="39" width="11" customWidth="1"/>
    <col min="40" max="42" width="11.25" customWidth="1"/>
    <col min="43" max="43" width="10.875" customWidth="1"/>
    <col min="44" max="46" width="11" customWidth="1"/>
    <col min="47" max="47" width="11.375" customWidth="1"/>
    <col min="48" max="50" width="12.125" customWidth="1"/>
    <col min="51" max="51" width="11.25" customWidth="1"/>
    <col min="52" max="52" width="10.5" customWidth="1"/>
    <col min="53" max="54" width="11.75" customWidth="1"/>
    <col min="55" max="55" width="10" customWidth="1"/>
    <col min="56" max="58" width="11.75" customWidth="1"/>
    <col min="59" max="59" width="11.25" customWidth="1"/>
    <col min="60" max="62" width="11.625" customWidth="1"/>
    <col min="63" max="63" width="9.625" customWidth="1"/>
    <col min="64" max="64" width="10" customWidth="1"/>
    <col min="65" max="66" width="11.75" customWidth="1"/>
    <col min="67" max="67" width="10.875" customWidth="1"/>
    <col min="68" max="68" width="10.625" customWidth="1"/>
    <col min="69" max="70" width="11.75" customWidth="1"/>
    <col min="71" max="71" width="10.5" customWidth="1"/>
    <col min="72" max="72" width="11" customWidth="1"/>
    <col min="73" max="74" width="11.75" customWidth="1"/>
    <col min="75" max="75" width="10.875" customWidth="1"/>
    <col min="76" max="76" width="10.25" customWidth="1"/>
    <col min="77" max="78" width="11.75" customWidth="1"/>
    <col min="79" max="79" width="11.125" customWidth="1"/>
    <col min="80" max="80" width="11" customWidth="1"/>
    <col min="81" max="82" width="11.75" customWidth="1"/>
    <col min="83" max="83" width="10.5" customWidth="1"/>
    <col min="84" max="84" width="10.75" customWidth="1"/>
    <col min="85" max="86" width="11.75" customWidth="1"/>
    <col min="87" max="87" width="10.5" customWidth="1"/>
    <col min="88" max="88" width="12" customWidth="1"/>
    <col min="89" max="90" width="11.75" customWidth="1"/>
    <col min="91" max="91" width="10.5" customWidth="1"/>
    <col min="92" max="94" width="13.75" customWidth="1"/>
    <col min="95" max="95" width="12.75" customWidth="1"/>
    <col min="96" max="98" width="12.25" customWidth="1"/>
    <col min="99" max="107" width="13.875" customWidth="1"/>
  </cols>
  <sheetData>
    <row r="1" spans="1:107" ht="14.25" customHeight="1" x14ac:dyDescent="0.25">
      <c r="A1" s="1" t="s">
        <v>2</v>
      </c>
      <c r="B1" s="2"/>
      <c r="C1" s="3" t="s">
        <v>166</v>
      </c>
      <c r="D1" s="5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6"/>
      <c r="CV1" s="6"/>
      <c r="CW1" s="6"/>
      <c r="CX1" s="6"/>
      <c r="CY1" s="6"/>
      <c r="CZ1" s="6"/>
      <c r="DA1" s="6"/>
      <c r="DB1" s="6"/>
      <c r="DC1" s="6"/>
    </row>
    <row r="2" spans="1:107" ht="14.25" customHeight="1" x14ac:dyDescent="0.25">
      <c r="A2" s="7" t="s">
        <v>7</v>
      </c>
      <c r="B2" s="2"/>
      <c r="C2" s="3" t="s">
        <v>165</v>
      </c>
      <c r="D2" s="8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6"/>
      <c r="CV2" s="6"/>
      <c r="CW2" s="6"/>
      <c r="CX2" s="6"/>
      <c r="CY2" s="6"/>
      <c r="CZ2" s="6"/>
      <c r="DA2" s="6"/>
      <c r="DB2" s="6"/>
      <c r="DC2" s="6"/>
    </row>
    <row r="3" spans="1:107" ht="14.25" customHeight="1" x14ac:dyDescent="0.25">
      <c r="A3" s="7" t="s">
        <v>10</v>
      </c>
      <c r="B3" s="2"/>
      <c r="C3" s="10" t="s">
        <v>67</v>
      </c>
      <c r="D3" s="8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6"/>
      <c r="CV3" s="6"/>
      <c r="CW3" s="6"/>
      <c r="CX3" s="6"/>
      <c r="CY3" s="6"/>
      <c r="CZ3" s="6"/>
      <c r="DA3" s="6"/>
      <c r="DB3" s="6"/>
      <c r="DC3" s="6"/>
    </row>
    <row r="4" spans="1:107" ht="14.25" customHeight="1" x14ac:dyDescent="0.25">
      <c r="A4" s="7" t="s">
        <v>14</v>
      </c>
      <c r="B4" s="2"/>
      <c r="C4" s="16" t="str">
        <f>CLEAN('SUMMARY_-_GCM'!D5)</f>
        <v>October 1-15, 2026</v>
      </c>
      <c r="D4" s="8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6"/>
      <c r="CV4" s="6"/>
      <c r="CW4" s="6"/>
      <c r="CX4" s="6"/>
      <c r="CY4" s="6"/>
      <c r="CZ4" s="6"/>
      <c r="DA4" s="6"/>
      <c r="DB4" s="6"/>
      <c r="DC4" s="6"/>
    </row>
    <row r="5" spans="1:107" ht="14.25" customHeight="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6"/>
      <c r="CV5" s="6"/>
      <c r="CW5" s="6"/>
      <c r="CX5" s="6"/>
      <c r="CY5" s="6"/>
      <c r="CZ5" s="6"/>
      <c r="DA5" s="6"/>
      <c r="DB5" s="6"/>
      <c r="DC5" s="6"/>
    </row>
    <row r="6" spans="1:107" ht="14.25" customHeight="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6"/>
      <c r="CV6" s="6"/>
      <c r="CW6" s="6"/>
      <c r="CX6" s="6"/>
      <c r="CY6" s="6"/>
      <c r="CZ6" s="6"/>
      <c r="DA6" s="6"/>
      <c r="DB6" s="6"/>
      <c r="DC6" s="6"/>
    </row>
    <row r="7" spans="1:107" ht="14.25" customHeight="1" x14ac:dyDescent="0.2">
      <c r="A7" s="129" t="s">
        <v>25</v>
      </c>
      <c r="B7" s="123"/>
      <c r="C7" s="129" t="s">
        <v>47</v>
      </c>
      <c r="D7" s="123"/>
      <c r="E7" s="127" t="s">
        <v>29</v>
      </c>
      <c r="F7" s="128"/>
      <c r="G7" s="129" t="s">
        <v>66</v>
      </c>
      <c r="H7" s="123"/>
      <c r="I7" s="127" t="s">
        <v>29</v>
      </c>
      <c r="J7" s="128"/>
      <c r="K7" s="129" t="s">
        <v>74</v>
      </c>
      <c r="L7" s="123"/>
      <c r="M7" s="127" t="s">
        <v>29</v>
      </c>
      <c r="N7" s="128"/>
      <c r="O7" s="129" t="s">
        <v>75</v>
      </c>
      <c r="P7" s="123"/>
      <c r="Q7" s="127" t="s">
        <v>29</v>
      </c>
      <c r="R7" s="128"/>
      <c r="S7" s="126" t="s">
        <v>77</v>
      </c>
      <c r="T7" s="123"/>
      <c r="U7" s="127" t="s">
        <v>29</v>
      </c>
      <c r="V7" s="128"/>
      <c r="W7" s="126" t="s">
        <v>71</v>
      </c>
      <c r="X7" s="123"/>
      <c r="Y7" s="127" t="s">
        <v>29</v>
      </c>
      <c r="Z7" s="128"/>
      <c r="AA7" s="126" t="s">
        <v>68</v>
      </c>
      <c r="AB7" s="123"/>
      <c r="AC7" s="127" t="s">
        <v>29</v>
      </c>
      <c r="AD7" s="128"/>
      <c r="AE7" s="129" t="s">
        <v>104</v>
      </c>
      <c r="AF7" s="123"/>
      <c r="AG7" s="127" t="s">
        <v>29</v>
      </c>
      <c r="AH7" s="128"/>
      <c r="AI7" s="129" t="s">
        <v>113</v>
      </c>
      <c r="AJ7" s="123"/>
      <c r="AK7" s="127" t="s">
        <v>29</v>
      </c>
      <c r="AL7" s="128"/>
      <c r="AM7" s="129" t="s">
        <v>112</v>
      </c>
      <c r="AN7" s="123"/>
      <c r="AO7" s="127" t="s">
        <v>29</v>
      </c>
      <c r="AP7" s="128"/>
      <c r="AQ7" s="129" t="s">
        <v>118</v>
      </c>
      <c r="AR7" s="123"/>
      <c r="AS7" s="127" t="s">
        <v>29</v>
      </c>
      <c r="AT7" s="128"/>
      <c r="AU7" s="129" t="s">
        <v>116</v>
      </c>
      <c r="AV7" s="123"/>
      <c r="AW7" s="127" t="s">
        <v>29</v>
      </c>
      <c r="AX7" s="128"/>
      <c r="AY7" s="129" t="s">
        <v>91</v>
      </c>
      <c r="AZ7" s="123"/>
      <c r="BA7" s="127" t="s">
        <v>29</v>
      </c>
      <c r="BB7" s="128"/>
      <c r="BC7" s="129" t="s">
        <v>117</v>
      </c>
      <c r="BD7" s="123"/>
      <c r="BE7" s="127" t="s">
        <v>29</v>
      </c>
      <c r="BF7" s="128"/>
      <c r="BG7" s="129" t="s">
        <v>84</v>
      </c>
      <c r="BH7" s="123"/>
      <c r="BI7" s="127" t="s">
        <v>29</v>
      </c>
      <c r="BJ7" s="128"/>
      <c r="BK7" s="129" t="s">
        <v>119</v>
      </c>
      <c r="BL7" s="123"/>
      <c r="BM7" s="127" t="s">
        <v>29</v>
      </c>
      <c r="BN7" s="128"/>
      <c r="BO7" s="129" t="s">
        <v>96</v>
      </c>
      <c r="BP7" s="123"/>
      <c r="BQ7" s="127" t="s">
        <v>29</v>
      </c>
      <c r="BR7" s="128"/>
      <c r="BS7" s="129" t="s">
        <v>106</v>
      </c>
      <c r="BT7" s="123"/>
      <c r="BU7" s="127" t="s">
        <v>29</v>
      </c>
      <c r="BV7" s="128"/>
      <c r="BW7" s="129" t="s">
        <v>95</v>
      </c>
      <c r="BX7" s="123"/>
      <c r="BY7" s="127" t="s">
        <v>29</v>
      </c>
      <c r="BZ7" s="128"/>
      <c r="CA7" s="129" t="s">
        <v>108</v>
      </c>
      <c r="CB7" s="123"/>
      <c r="CC7" s="127" t="s">
        <v>29</v>
      </c>
      <c r="CD7" s="128"/>
      <c r="CE7" s="129" t="s">
        <v>109</v>
      </c>
      <c r="CF7" s="123"/>
      <c r="CG7" s="127" t="s">
        <v>29</v>
      </c>
      <c r="CH7" s="128"/>
      <c r="CI7" s="129" t="s">
        <v>114</v>
      </c>
      <c r="CJ7" s="123"/>
      <c r="CK7" s="127" t="s">
        <v>29</v>
      </c>
      <c r="CL7" s="128"/>
      <c r="CM7" s="130" t="s">
        <v>102</v>
      </c>
      <c r="CN7" s="123"/>
      <c r="CO7" s="127" t="s">
        <v>29</v>
      </c>
      <c r="CP7" s="128"/>
      <c r="CQ7" s="130" t="s">
        <v>94</v>
      </c>
      <c r="CR7" s="123"/>
      <c r="CS7" s="127" t="s">
        <v>29</v>
      </c>
      <c r="CT7" s="128"/>
      <c r="CU7" s="126" t="s">
        <v>93</v>
      </c>
      <c r="CV7" s="123"/>
      <c r="CW7" s="127" t="s">
        <v>29</v>
      </c>
      <c r="CX7" s="128"/>
      <c r="CY7" s="126" t="s">
        <v>115</v>
      </c>
      <c r="CZ7" s="123"/>
      <c r="DA7" s="127" t="s">
        <v>29</v>
      </c>
      <c r="DB7" s="128"/>
      <c r="DC7" s="6"/>
    </row>
    <row r="8" spans="1:107" ht="15" customHeight="1" x14ac:dyDescent="0.25">
      <c r="A8" s="20" t="str">
        <f>CLEAN(BUUG!A8)</f>
        <v>#</v>
      </c>
      <c r="B8" s="20" t="s">
        <v>34</v>
      </c>
      <c r="C8" s="66" t="s">
        <v>35</v>
      </c>
      <c r="D8" s="66" t="s">
        <v>36</v>
      </c>
      <c r="E8" s="22" t="s">
        <v>35</v>
      </c>
      <c r="F8" s="22" t="s">
        <v>36</v>
      </c>
      <c r="G8" s="66" t="s">
        <v>35</v>
      </c>
      <c r="H8" s="66" t="s">
        <v>36</v>
      </c>
      <c r="I8" s="22" t="s">
        <v>35</v>
      </c>
      <c r="J8" s="22" t="s">
        <v>36</v>
      </c>
      <c r="K8" s="66" t="s">
        <v>35</v>
      </c>
      <c r="L8" s="66" t="s">
        <v>36</v>
      </c>
      <c r="M8" s="22" t="s">
        <v>35</v>
      </c>
      <c r="N8" s="22" t="s">
        <v>36</v>
      </c>
      <c r="O8" s="66" t="s">
        <v>35</v>
      </c>
      <c r="P8" s="66" t="s">
        <v>36</v>
      </c>
      <c r="Q8" s="22" t="s">
        <v>35</v>
      </c>
      <c r="R8" s="22" t="s">
        <v>36</v>
      </c>
      <c r="S8" s="66" t="s">
        <v>35</v>
      </c>
      <c r="T8" s="66" t="s">
        <v>36</v>
      </c>
      <c r="U8" s="22" t="s">
        <v>35</v>
      </c>
      <c r="V8" s="22" t="s">
        <v>36</v>
      </c>
      <c r="W8" s="66" t="s">
        <v>35</v>
      </c>
      <c r="X8" s="66" t="s">
        <v>36</v>
      </c>
      <c r="Y8" s="22" t="s">
        <v>35</v>
      </c>
      <c r="Z8" s="22" t="s">
        <v>36</v>
      </c>
      <c r="AA8" s="66" t="s">
        <v>35</v>
      </c>
      <c r="AB8" s="66" t="s">
        <v>36</v>
      </c>
      <c r="AC8" s="22" t="s">
        <v>35</v>
      </c>
      <c r="AD8" s="22" t="s">
        <v>36</v>
      </c>
      <c r="AE8" s="66" t="s">
        <v>35</v>
      </c>
      <c r="AF8" s="66" t="s">
        <v>36</v>
      </c>
      <c r="AG8" s="22" t="s">
        <v>35</v>
      </c>
      <c r="AH8" s="22" t="s">
        <v>36</v>
      </c>
      <c r="AI8" s="66" t="s">
        <v>35</v>
      </c>
      <c r="AJ8" s="66" t="s">
        <v>36</v>
      </c>
      <c r="AK8" s="22" t="s">
        <v>35</v>
      </c>
      <c r="AL8" s="22" t="s">
        <v>36</v>
      </c>
      <c r="AM8" s="66" t="s">
        <v>35</v>
      </c>
      <c r="AN8" s="66" t="s">
        <v>36</v>
      </c>
      <c r="AO8" s="22" t="s">
        <v>35</v>
      </c>
      <c r="AP8" s="22" t="s">
        <v>36</v>
      </c>
      <c r="AQ8" s="66" t="s">
        <v>35</v>
      </c>
      <c r="AR8" s="66" t="s">
        <v>36</v>
      </c>
      <c r="AS8" s="22" t="s">
        <v>35</v>
      </c>
      <c r="AT8" s="22" t="s">
        <v>36</v>
      </c>
      <c r="AU8" s="66" t="s">
        <v>35</v>
      </c>
      <c r="AV8" s="66" t="s">
        <v>36</v>
      </c>
      <c r="AW8" s="22" t="s">
        <v>35</v>
      </c>
      <c r="AX8" s="22" t="s">
        <v>36</v>
      </c>
      <c r="AY8" s="66" t="s">
        <v>35</v>
      </c>
      <c r="AZ8" s="66" t="s">
        <v>36</v>
      </c>
      <c r="BA8" s="22" t="s">
        <v>35</v>
      </c>
      <c r="BB8" s="22" t="s">
        <v>36</v>
      </c>
      <c r="BC8" s="66" t="s">
        <v>35</v>
      </c>
      <c r="BD8" s="66" t="s">
        <v>36</v>
      </c>
      <c r="BE8" s="22" t="s">
        <v>35</v>
      </c>
      <c r="BF8" s="22" t="s">
        <v>36</v>
      </c>
      <c r="BG8" s="66" t="s">
        <v>35</v>
      </c>
      <c r="BH8" s="66" t="s">
        <v>36</v>
      </c>
      <c r="BI8" s="22" t="s">
        <v>35</v>
      </c>
      <c r="BJ8" s="22" t="s">
        <v>36</v>
      </c>
      <c r="BK8" s="66" t="s">
        <v>35</v>
      </c>
      <c r="BL8" s="66" t="s">
        <v>36</v>
      </c>
      <c r="BM8" s="22" t="s">
        <v>35</v>
      </c>
      <c r="BN8" s="22" t="s">
        <v>36</v>
      </c>
      <c r="BO8" s="66" t="s">
        <v>35</v>
      </c>
      <c r="BP8" s="66" t="s">
        <v>36</v>
      </c>
      <c r="BQ8" s="22" t="s">
        <v>35</v>
      </c>
      <c r="BR8" s="22" t="s">
        <v>36</v>
      </c>
      <c r="BS8" s="66" t="s">
        <v>35</v>
      </c>
      <c r="BT8" s="66" t="s">
        <v>36</v>
      </c>
      <c r="BU8" s="22" t="s">
        <v>35</v>
      </c>
      <c r="BV8" s="22" t="s">
        <v>36</v>
      </c>
      <c r="BW8" s="66" t="s">
        <v>35</v>
      </c>
      <c r="BX8" s="66" t="s">
        <v>36</v>
      </c>
      <c r="BY8" s="22" t="s">
        <v>35</v>
      </c>
      <c r="BZ8" s="22" t="s">
        <v>36</v>
      </c>
      <c r="CA8" s="66" t="s">
        <v>35</v>
      </c>
      <c r="CB8" s="66" t="s">
        <v>36</v>
      </c>
      <c r="CC8" s="22" t="s">
        <v>35</v>
      </c>
      <c r="CD8" s="22" t="s">
        <v>36</v>
      </c>
      <c r="CE8" s="66" t="s">
        <v>35</v>
      </c>
      <c r="CF8" s="66" t="s">
        <v>36</v>
      </c>
      <c r="CG8" s="22" t="s">
        <v>35</v>
      </c>
      <c r="CH8" s="22" t="s">
        <v>36</v>
      </c>
      <c r="CI8" s="66" t="s">
        <v>35</v>
      </c>
      <c r="CJ8" s="66" t="s">
        <v>36</v>
      </c>
      <c r="CK8" s="22" t="s">
        <v>35</v>
      </c>
      <c r="CL8" s="22" t="s">
        <v>36</v>
      </c>
      <c r="CM8" s="66" t="s">
        <v>35</v>
      </c>
      <c r="CN8" s="66" t="s">
        <v>36</v>
      </c>
      <c r="CO8" s="22" t="s">
        <v>35</v>
      </c>
      <c r="CP8" s="22" t="s">
        <v>36</v>
      </c>
      <c r="CQ8" s="66" t="s">
        <v>35</v>
      </c>
      <c r="CR8" s="66" t="s">
        <v>36</v>
      </c>
      <c r="CS8" s="22" t="s">
        <v>35</v>
      </c>
      <c r="CT8" s="22" t="s">
        <v>36</v>
      </c>
      <c r="CU8" s="34" t="s">
        <v>35</v>
      </c>
      <c r="CV8" s="34" t="s">
        <v>36</v>
      </c>
      <c r="CW8" s="22" t="s">
        <v>35</v>
      </c>
      <c r="CX8" s="22" t="s">
        <v>36</v>
      </c>
      <c r="CY8" s="34" t="s">
        <v>35</v>
      </c>
      <c r="CZ8" s="34" t="s">
        <v>36</v>
      </c>
      <c r="DA8" s="22" t="s">
        <v>35</v>
      </c>
      <c r="DB8" s="22" t="s">
        <v>36</v>
      </c>
      <c r="DC8" s="67"/>
    </row>
    <row r="9" spans="1:107" ht="14.25" customHeight="1" x14ac:dyDescent="0.2">
      <c r="A9" s="96"/>
      <c r="B9" s="96"/>
      <c r="C9" s="103"/>
      <c r="D9" s="90"/>
      <c r="E9" s="97"/>
      <c r="F9" s="97"/>
      <c r="G9" s="90"/>
      <c r="H9" s="90"/>
      <c r="I9" s="97"/>
      <c r="J9" s="97"/>
      <c r="K9" s="90"/>
      <c r="L9" s="90"/>
      <c r="M9" s="97"/>
      <c r="N9" s="97"/>
      <c r="O9" s="90"/>
      <c r="P9" s="90"/>
      <c r="Q9" s="97"/>
      <c r="R9" s="97"/>
      <c r="S9" s="90"/>
      <c r="T9" s="90"/>
      <c r="U9" s="97"/>
      <c r="V9" s="97"/>
      <c r="W9" s="90"/>
      <c r="X9" s="90"/>
      <c r="Y9" s="97"/>
      <c r="Z9" s="97"/>
      <c r="AA9" s="90"/>
      <c r="AB9" s="90"/>
      <c r="AC9" s="97"/>
      <c r="AD9" s="97"/>
      <c r="AE9" s="90"/>
      <c r="AF9" s="90"/>
      <c r="AG9" s="97"/>
      <c r="AH9" s="97"/>
      <c r="AI9" s="90"/>
      <c r="AJ9" s="90"/>
      <c r="AK9" s="97"/>
      <c r="AL9" s="97"/>
      <c r="AM9" s="90"/>
      <c r="AN9" s="90"/>
      <c r="AO9" s="97"/>
      <c r="AP9" s="97"/>
      <c r="AQ9" s="90"/>
      <c r="AR9" s="90"/>
      <c r="AS9" s="97"/>
      <c r="AT9" s="97"/>
      <c r="AU9" s="90"/>
      <c r="AV9" s="90"/>
      <c r="AW9" s="97"/>
      <c r="AX9" s="97"/>
      <c r="AY9" s="90"/>
      <c r="AZ9" s="90"/>
      <c r="BA9" s="97"/>
      <c r="BB9" s="97"/>
      <c r="BC9" s="90"/>
      <c r="BD9" s="90"/>
      <c r="BE9" s="97"/>
      <c r="BF9" s="97"/>
      <c r="BG9" s="90"/>
      <c r="BH9" s="90"/>
      <c r="BI9" s="97"/>
      <c r="BJ9" s="97"/>
      <c r="BK9" s="90"/>
      <c r="BL9" s="90"/>
      <c r="BM9" s="97"/>
      <c r="BN9" s="97"/>
      <c r="BO9" s="90"/>
      <c r="BP9" s="90"/>
      <c r="BQ9" s="97"/>
      <c r="BR9" s="97"/>
      <c r="BS9" s="90"/>
      <c r="BT9" s="90"/>
      <c r="BU9" s="97"/>
      <c r="BV9" s="97"/>
      <c r="BW9" s="90"/>
      <c r="BX9" s="90"/>
      <c r="BY9" s="97"/>
      <c r="BZ9" s="97"/>
      <c r="CA9" s="90"/>
      <c r="CB9" s="90"/>
      <c r="CC9" s="97"/>
      <c r="CD9" s="97"/>
      <c r="CE9" s="90"/>
      <c r="CF9" s="90"/>
      <c r="CG9" s="97"/>
      <c r="CH9" s="97"/>
      <c r="CI9" s="90"/>
      <c r="CJ9" s="90"/>
      <c r="CK9" s="97"/>
      <c r="CL9" s="97"/>
      <c r="CM9" s="90"/>
      <c r="CN9" s="90"/>
      <c r="CO9" s="97"/>
      <c r="CP9" s="97"/>
      <c r="CQ9" s="90"/>
      <c r="CR9" s="90"/>
      <c r="CS9" s="97"/>
      <c r="CT9" s="97"/>
      <c r="CU9" s="90"/>
      <c r="CV9" s="90"/>
      <c r="CW9" s="97"/>
      <c r="CX9" s="97"/>
      <c r="CY9" s="90"/>
      <c r="CZ9" s="90"/>
      <c r="DA9" s="97"/>
      <c r="DB9" s="97"/>
      <c r="DC9" s="68"/>
    </row>
    <row r="10" spans="1:107" ht="14.25" customHeight="1" x14ac:dyDescent="0.2">
      <c r="A10" s="96"/>
      <c r="B10" s="96"/>
      <c r="C10" s="90"/>
      <c r="D10" s="90"/>
      <c r="E10" s="97"/>
      <c r="F10" s="97"/>
      <c r="G10" s="90"/>
      <c r="H10" s="90"/>
      <c r="I10" s="97"/>
      <c r="J10" s="97"/>
      <c r="K10" s="90"/>
      <c r="L10" s="90"/>
      <c r="M10" s="97"/>
      <c r="N10" s="97"/>
      <c r="O10" s="90"/>
      <c r="P10" s="90"/>
      <c r="Q10" s="97"/>
      <c r="R10" s="97"/>
      <c r="S10" s="90"/>
      <c r="T10" s="90"/>
      <c r="U10" s="97"/>
      <c r="V10" s="97"/>
      <c r="W10" s="90"/>
      <c r="X10" s="90"/>
      <c r="Y10" s="97"/>
      <c r="Z10" s="97"/>
      <c r="AA10" s="90"/>
      <c r="AB10" s="90"/>
      <c r="AC10" s="97"/>
      <c r="AD10" s="97"/>
      <c r="AE10" s="90"/>
      <c r="AF10" s="90"/>
      <c r="AG10" s="97"/>
      <c r="AH10" s="97"/>
      <c r="AI10" s="90"/>
      <c r="AJ10" s="90"/>
      <c r="AK10" s="97"/>
      <c r="AL10" s="97"/>
      <c r="AM10" s="90"/>
      <c r="AN10" s="90"/>
      <c r="AO10" s="97"/>
      <c r="AP10" s="97"/>
      <c r="AQ10" s="90"/>
      <c r="AR10" s="90"/>
      <c r="AS10" s="97"/>
      <c r="AT10" s="97"/>
      <c r="AU10" s="90"/>
      <c r="AV10" s="90"/>
      <c r="AW10" s="97"/>
      <c r="AX10" s="97"/>
      <c r="AY10" s="90"/>
      <c r="AZ10" s="90"/>
      <c r="BA10" s="97"/>
      <c r="BB10" s="97"/>
      <c r="BC10" s="90"/>
      <c r="BD10" s="90"/>
      <c r="BE10" s="97"/>
      <c r="BF10" s="97"/>
      <c r="BG10" s="90"/>
      <c r="BH10" s="90"/>
      <c r="BI10" s="97"/>
      <c r="BJ10" s="97"/>
      <c r="BK10" s="90"/>
      <c r="BL10" s="90"/>
      <c r="BM10" s="97"/>
      <c r="BN10" s="97"/>
      <c r="BO10" s="90"/>
      <c r="BP10" s="90"/>
      <c r="BQ10" s="97"/>
      <c r="BR10" s="97"/>
      <c r="BS10" s="90"/>
      <c r="BT10" s="90"/>
      <c r="BU10" s="97"/>
      <c r="BV10" s="97"/>
      <c r="BW10" s="90"/>
      <c r="BX10" s="90"/>
      <c r="BY10" s="97"/>
      <c r="BZ10" s="97"/>
      <c r="CA10" s="90"/>
      <c r="CB10" s="90"/>
      <c r="CC10" s="97"/>
      <c r="CD10" s="97"/>
      <c r="CE10" s="90"/>
      <c r="CF10" s="90"/>
      <c r="CG10" s="97"/>
      <c r="CH10" s="97"/>
      <c r="CI10" s="90"/>
      <c r="CJ10" s="90"/>
      <c r="CK10" s="97"/>
      <c r="CL10" s="97"/>
      <c r="CM10" s="90"/>
      <c r="CN10" s="90"/>
      <c r="CO10" s="97"/>
      <c r="CP10" s="97"/>
      <c r="CQ10" s="90"/>
      <c r="CR10" s="90"/>
      <c r="CS10" s="97"/>
      <c r="CT10" s="97"/>
      <c r="CU10" s="90"/>
      <c r="CV10" s="90"/>
      <c r="CW10" s="97"/>
      <c r="CX10" s="97"/>
      <c r="CY10" s="90"/>
      <c r="CZ10" s="90"/>
      <c r="DA10" s="97"/>
      <c r="DB10" s="97"/>
      <c r="DC10" s="67"/>
    </row>
    <row r="11" spans="1:107" ht="14.25" customHeight="1" x14ac:dyDescent="0.2">
      <c r="A11" s="96"/>
      <c r="B11" s="96"/>
      <c r="C11" s="90"/>
      <c r="D11" s="90"/>
      <c r="E11" s="97"/>
      <c r="F11" s="97"/>
      <c r="G11" s="90"/>
      <c r="H11" s="90"/>
      <c r="I11" s="97"/>
      <c r="J11" s="97"/>
      <c r="K11" s="90"/>
      <c r="L11" s="90"/>
      <c r="M11" s="97"/>
      <c r="N11" s="97"/>
      <c r="O11" s="90"/>
      <c r="P11" s="90"/>
      <c r="Q11" s="97"/>
      <c r="R11" s="97"/>
      <c r="S11" s="90"/>
      <c r="T11" s="90"/>
      <c r="U11" s="97"/>
      <c r="V11" s="97"/>
      <c r="W11" s="90"/>
      <c r="X11" s="90"/>
      <c r="Y11" s="97"/>
      <c r="Z11" s="97"/>
      <c r="AA11" s="90"/>
      <c r="AB11" s="90"/>
      <c r="AC11" s="97"/>
      <c r="AD11" s="97"/>
      <c r="AE11" s="90"/>
      <c r="AF11" s="90"/>
      <c r="AG11" s="97"/>
      <c r="AH11" s="97"/>
      <c r="AI11" s="90"/>
      <c r="AJ11" s="90"/>
      <c r="AK11" s="97"/>
      <c r="AL11" s="97"/>
      <c r="AM11" s="90"/>
      <c r="AN11" s="90"/>
      <c r="AO11" s="97"/>
      <c r="AP11" s="97"/>
      <c r="AQ11" s="90"/>
      <c r="AR11" s="90"/>
      <c r="AS11" s="97"/>
      <c r="AT11" s="97"/>
      <c r="AU11" s="90"/>
      <c r="AV11" s="90"/>
      <c r="AW11" s="97"/>
      <c r="AX11" s="97"/>
      <c r="AY11" s="90"/>
      <c r="AZ11" s="90"/>
      <c r="BA11" s="97"/>
      <c r="BB11" s="97"/>
      <c r="BC11" s="90"/>
      <c r="BD11" s="90"/>
      <c r="BE11" s="97"/>
      <c r="BF11" s="97"/>
      <c r="BG11" s="90"/>
      <c r="BH11" s="90"/>
      <c r="BI11" s="97"/>
      <c r="BJ11" s="97"/>
      <c r="BK11" s="90"/>
      <c r="BL11" s="90"/>
      <c r="BM11" s="97"/>
      <c r="BN11" s="97"/>
      <c r="BO11" s="90"/>
      <c r="BP11" s="90"/>
      <c r="BQ11" s="97"/>
      <c r="BR11" s="97"/>
      <c r="BS11" s="90"/>
      <c r="BT11" s="90"/>
      <c r="BU11" s="97"/>
      <c r="BV11" s="97"/>
      <c r="BW11" s="90"/>
      <c r="BX11" s="90"/>
      <c r="BY11" s="97"/>
      <c r="BZ11" s="97"/>
      <c r="CA11" s="90"/>
      <c r="CB11" s="90"/>
      <c r="CC11" s="97"/>
      <c r="CD11" s="97"/>
      <c r="CE11" s="90"/>
      <c r="CF11" s="90"/>
      <c r="CG11" s="97"/>
      <c r="CH11" s="97"/>
      <c r="CI11" s="90"/>
      <c r="CJ11" s="90"/>
      <c r="CK11" s="97"/>
      <c r="CL11" s="97"/>
      <c r="CM11" s="90"/>
      <c r="CN11" s="90"/>
      <c r="CO11" s="97"/>
      <c r="CP11" s="97"/>
      <c r="CQ11" s="90"/>
      <c r="CR11" s="90"/>
      <c r="CS11" s="97"/>
      <c r="CT11" s="97"/>
      <c r="CU11" s="90"/>
      <c r="CV11" s="90"/>
      <c r="CW11" s="97"/>
      <c r="CX11" s="97"/>
      <c r="CY11" s="90"/>
      <c r="CZ11" s="90"/>
      <c r="DA11" s="97"/>
      <c r="DB11" s="97"/>
      <c r="DC11" s="67"/>
    </row>
    <row r="12" spans="1:107" ht="14.25" customHeight="1" x14ac:dyDescent="0.2">
      <c r="A12" s="96"/>
      <c r="B12" s="96"/>
      <c r="C12" s="90"/>
      <c r="D12" s="90"/>
      <c r="E12" s="97"/>
      <c r="F12" s="97"/>
      <c r="G12" s="90"/>
      <c r="H12" s="90"/>
      <c r="I12" s="97"/>
      <c r="J12" s="97"/>
      <c r="K12" s="90"/>
      <c r="L12" s="90"/>
      <c r="M12" s="97"/>
      <c r="N12" s="97"/>
      <c r="O12" s="90"/>
      <c r="P12" s="90"/>
      <c r="Q12" s="97"/>
      <c r="R12" s="97"/>
      <c r="S12" s="90"/>
      <c r="T12" s="90"/>
      <c r="U12" s="97"/>
      <c r="V12" s="97"/>
      <c r="W12" s="90"/>
      <c r="X12" s="90"/>
      <c r="Y12" s="97"/>
      <c r="Z12" s="97"/>
      <c r="AA12" s="90"/>
      <c r="AB12" s="90"/>
      <c r="AC12" s="97"/>
      <c r="AD12" s="97"/>
      <c r="AE12" s="90"/>
      <c r="AF12" s="90"/>
      <c r="AG12" s="97"/>
      <c r="AH12" s="97"/>
      <c r="AI12" s="90"/>
      <c r="AJ12" s="90"/>
      <c r="AK12" s="97"/>
      <c r="AL12" s="97"/>
      <c r="AM12" s="90"/>
      <c r="AN12" s="90"/>
      <c r="AO12" s="97"/>
      <c r="AP12" s="97"/>
      <c r="AQ12" s="90"/>
      <c r="AR12" s="90"/>
      <c r="AS12" s="97"/>
      <c r="AT12" s="97"/>
      <c r="AU12" s="90"/>
      <c r="AV12" s="90"/>
      <c r="AW12" s="97"/>
      <c r="AX12" s="97"/>
      <c r="AY12" s="90"/>
      <c r="AZ12" s="90"/>
      <c r="BA12" s="97"/>
      <c r="BB12" s="97"/>
      <c r="BC12" s="90"/>
      <c r="BD12" s="90"/>
      <c r="BE12" s="97"/>
      <c r="BF12" s="97"/>
      <c r="BG12" s="90"/>
      <c r="BH12" s="90"/>
      <c r="BI12" s="97"/>
      <c r="BJ12" s="97"/>
      <c r="BK12" s="90"/>
      <c r="BL12" s="90"/>
      <c r="BM12" s="97"/>
      <c r="BN12" s="97"/>
      <c r="BO12" s="90"/>
      <c r="BP12" s="90"/>
      <c r="BQ12" s="97"/>
      <c r="BR12" s="97"/>
      <c r="BS12" s="90"/>
      <c r="BT12" s="90"/>
      <c r="BU12" s="97"/>
      <c r="BV12" s="97"/>
      <c r="BW12" s="90"/>
      <c r="BX12" s="90"/>
      <c r="BY12" s="97"/>
      <c r="BZ12" s="97"/>
      <c r="CA12" s="90"/>
      <c r="CB12" s="90"/>
      <c r="CC12" s="97"/>
      <c r="CD12" s="97"/>
      <c r="CE12" s="90"/>
      <c r="CF12" s="90"/>
      <c r="CG12" s="97"/>
      <c r="CH12" s="97"/>
      <c r="CI12" s="90"/>
      <c r="CJ12" s="90"/>
      <c r="CK12" s="97"/>
      <c r="CL12" s="97"/>
      <c r="CM12" s="90"/>
      <c r="CN12" s="90"/>
      <c r="CO12" s="97"/>
      <c r="CP12" s="97"/>
      <c r="CQ12" s="90"/>
      <c r="CR12" s="90"/>
      <c r="CS12" s="97"/>
      <c r="CT12" s="97"/>
      <c r="CU12" s="90"/>
      <c r="CV12" s="90"/>
      <c r="CW12" s="97"/>
      <c r="CX12" s="97"/>
      <c r="CY12" s="90"/>
      <c r="CZ12" s="90"/>
      <c r="DA12" s="97"/>
      <c r="DB12" s="97"/>
      <c r="DC12" s="67"/>
    </row>
    <row r="13" spans="1:107" ht="14.25" customHeight="1" x14ac:dyDescent="0.2">
      <c r="A13" s="96"/>
      <c r="B13" s="96"/>
      <c r="C13" s="90"/>
      <c r="D13" s="90"/>
      <c r="E13" s="97"/>
      <c r="F13" s="97"/>
      <c r="G13" s="90"/>
      <c r="H13" s="90"/>
      <c r="I13" s="97"/>
      <c r="J13" s="97"/>
      <c r="K13" s="90"/>
      <c r="L13" s="90"/>
      <c r="M13" s="97"/>
      <c r="N13" s="97"/>
      <c r="O13" s="90"/>
      <c r="P13" s="90"/>
      <c r="Q13" s="97"/>
      <c r="R13" s="97"/>
      <c r="S13" s="90"/>
      <c r="T13" s="90"/>
      <c r="U13" s="97"/>
      <c r="V13" s="97"/>
      <c r="W13" s="90"/>
      <c r="X13" s="90"/>
      <c r="Y13" s="97"/>
      <c r="Z13" s="97"/>
      <c r="AA13" s="90"/>
      <c r="AB13" s="90"/>
      <c r="AC13" s="97"/>
      <c r="AD13" s="97"/>
      <c r="AE13" s="90"/>
      <c r="AF13" s="90"/>
      <c r="AG13" s="97"/>
      <c r="AH13" s="97"/>
      <c r="AI13" s="90"/>
      <c r="AJ13" s="90"/>
      <c r="AK13" s="97"/>
      <c r="AL13" s="97"/>
      <c r="AM13" s="90"/>
      <c r="AN13" s="90"/>
      <c r="AO13" s="97"/>
      <c r="AP13" s="97"/>
      <c r="AQ13" s="90"/>
      <c r="AR13" s="90"/>
      <c r="AS13" s="97"/>
      <c r="AT13" s="97"/>
      <c r="AU13" s="90"/>
      <c r="AV13" s="90"/>
      <c r="AW13" s="97"/>
      <c r="AX13" s="97"/>
      <c r="AY13" s="90"/>
      <c r="AZ13" s="90"/>
      <c r="BA13" s="97"/>
      <c r="BB13" s="97"/>
      <c r="BC13" s="90"/>
      <c r="BD13" s="90"/>
      <c r="BE13" s="97"/>
      <c r="BF13" s="97"/>
      <c r="BG13" s="90"/>
      <c r="BH13" s="90"/>
      <c r="BI13" s="97"/>
      <c r="BJ13" s="97"/>
      <c r="BK13" s="90"/>
      <c r="BL13" s="90"/>
      <c r="BM13" s="97"/>
      <c r="BN13" s="97"/>
      <c r="BO13" s="90"/>
      <c r="BP13" s="90"/>
      <c r="BQ13" s="97"/>
      <c r="BR13" s="97"/>
      <c r="BS13" s="90"/>
      <c r="BT13" s="90"/>
      <c r="BU13" s="97"/>
      <c r="BV13" s="97"/>
      <c r="BW13" s="90"/>
      <c r="BX13" s="90"/>
      <c r="BY13" s="97"/>
      <c r="BZ13" s="97"/>
      <c r="CA13" s="90"/>
      <c r="CB13" s="90"/>
      <c r="CC13" s="97"/>
      <c r="CD13" s="97"/>
      <c r="CE13" s="90"/>
      <c r="CF13" s="90"/>
      <c r="CG13" s="97"/>
      <c r="CH13" s="97"/>
      <c r="CI13" s="90"/>
      <c r="CJ13" s="90"/>
      <c r="CK13" s="97"/>
      <c r="CL13" s="97"/>
      <c r="CM13" s="90"/>
      <c r="CN13" s="90"/>
      <c r="CO13" s="97"/>
      <c r="CP13" s="97"/>
      <c r="CQ13" s="90"/>
      <c r="CR13" s="90"/>
      <c r="CS13" s="97"/>
      <c r="CT13" s="97"/>
      <c r="CU13" s="90"/>
      <c r="CV13" s="90"/>
      <c r="CW13" s="97"/>
      <c r="CX13" s="97"/>
      <c r="CY13" s="90"/>
      <c r="CZ13" s="90"/>
      <c r="DA13" s="97"/>
      <c r="DB13" s="97"/>
      <c r="DC13" s="67"/>
    </row>
    <row r="14" spans="1:107" ht="14.25" customHeight="1" x14ac:dyDescent="0.2">
      <c r="A14" s="96"/>
      <c r="B14" s="96"/>
      <c r="C14" s="90"/>
      <c r="D14" s="90"/>
      <c r="E14" s="120"/>
      <c r="F14" s="120"/>
      <c r="G14" s="90"/>
      <c r="H14" s="90"/>
      <c r="I14" s="97"/>
      <c r="J14" s="97"/>
      <c r="K14" s="90"/>
      <c r="L14" s="90"/>
      <c r="M14" s="97"/>
      <c r="N14" s="97"/>
      <c r="O14" s="90"/>
      <c r="P14" s="90"/>
      <c r="Q14" s="97"/>
      <c r="R14" s="97"/>
      <c r="S14" s="90"/>
      <c r="T14" s="90"/>
      <c r="U14" s="97"/>
      <c r="V14" s="97"/>
      <c r="W14" s="90"/>
      <c r="X14" s="90"/>
      <c r="Y14" s="97"/>
      <c r="Z14" s="97"/>
      <c r="AA14" s="90"/>
      <c r="AB14" s="90"/>
      <c r="AC14" s="97"/>
      <c r="AD14" s="97"/>
      <c r="AE14" s="90"/>
      <c r="AF14" s="90"/>
      <c r="AG14" s="97"/>
      <c r="AH14" s="97"/>
      <c r="AI14" s="90"/>
      <c r="AJ14" s="90"/>
      <c r="AK14" s="97"/>
      <c r="AL14" s="97"/>
      <c r="AM14" s="90"/>
      <c r="AN14" s="90"/>
      <c r="AO14" s="97"/>
      <c r="AP14" s="97"/>
      <c r="AQ14" s="90"/>
      <c r="AR14" s="90"/>
      <c r="AS14" s="97"/>
      <c r="AT14" s="97"/>
      <c r="AU14" s="90"/>
      <c r="AV14" s="90"/>
      <c r="AW14" s="97"/>
      <c r="AX14" s="97"/>
      <c r="AY14" s="90"/>
      <c r="AZ14" s="90"/>
      <c r="BA14" s="97"/>
      <c r="BB14" s="97"/>
      <c r="BC14" s="90"/>
      <c r="BD14" s="90"/>
      <c r="BE14" s="97"/>
      <c r="BF14" s="97"/>
      <c r="BG14" s="90"/>
      <c r="BH14" s="90"/>
      <c r="BI14" s="97"/>
      <c r="BJ14" s="97"/>
      <c r="BK14" s="90"/>
      <c r="BL14" s="90"/>
      <c r="BM14" s="97"/>
      <c r="BN14" s="97"/>
      <c r="BO14" s="90"/>
      <c r="BP14" s="90"/>
      <c r="BQ14" s="97"/>
      <c r="BR14" s="97"/>
      <c r="BS14" s="90"/>
      <c r="BT14" s="90"/>
      <c r="BU14" s="97"/>
      <c r="BV14" s="97"/>
      <c r="BW14" s="90"/>
      <c r="BX14" s="90"/>
      <c r="BY14" s="97"/>
      <c r="BZ14" s="97"/>
      <c r="CA14" s="90"/>
      <c r="CB14" s="90"/>
      <c r="CC14" s="97"/>
      <c r="CD14" s="97"/>
      <c r="CE14" s="90"/>
      <c r="CF14" s="90"/>
      <c r="CG14" s="97"/>
      <c r="CH14" s="97"/>
      <c r="CI14" s="90"/>
      <c r="CJ14" s="90"/>
      <c r="CK14" s="97"/>
      <c r="CL14" s="97"/>
      <c r="CM14" s="90"/>
      <c r="CN14" s="90"/>
      <c r="CO14" s="97"/>
      <c r="CP14" s="97"/>
      <c r="CQ14" s="90"/>
      <c r="CR14" s="90"/>
      <c r="CS14" s="97"/>
      <c r="CT14" s="97"/>
      <c r="CU14" s="90"/>
      <c r="CV14" s="90"/>
      <c r="CW14" s="97"/>
      <c r="CX14" s="97"/>
      <c r="CY14" s="90"/>
      <c r="CZ14" s="90"/>
      <c r="DA14" s="97"/>
      <c r="DB14" s="97"/>
      <c r="DC14" s="67"/>
    </row>
    <row r="15" spans="1:107" ht="14.25" customHeight="1" x14ac:dyDescent="0.2">
      <c r="A15" s="96"/>
      <c r="B15" s="96"/>
      <c r="C15" s="90"/>
      <c r="D15" s="90"/>
      <c r="E15" s="97"/>
      <c r="F15" s="97"/>
      <c r="G15" s="90"/>
      <c r="H15" s="90"/>
      <c r="I15" s="97"/>
      <c r="J15" s="97"/>
      <c r="K15" s="90"/>
      <c r="L15" s="90"/>
      <c r="M15" s="97"/>
      <c r="N15" s="97"/>
      <c r="O15" s="90"/>
      <c r="P15" s="90"/>
      <c r="Q15" s="97"/>
      <c r="R15" s="97"/>
      <c r="S15" s="90"/>
      <c r="T15" s="90"/>
      <c r="U15" s="97"/>
      <c r="V15" s="97"/>
      <c r="W15" s="90"/>
      <c r="X15" s="90"/>
      <c r="Y15" s="97"/>
      <c r="Z15" s="97"/>
      <c r="AA15" s="90"/>
      <c r="AB15" s="90"/>
      <c r="AC15" s="97"/>
      <c r="AD15" s="97"/>
      <c r="AE15" s="90"/>
      <c r="AF15" s="90"/>
      <c r="AG15" s="97"/>
      <c r="AH15" s="97"/>
      <c r="AI15" s="90"/>
      <c r="AJ15" s="90"/>
      <c r="AK15" s="97"/>
      <c r="AL15" s="97"/>
      <c r="AM15" s="90"/>
      <c r="AN15" s="90"/>
      <c r="AO15" s="97"/>
      <c r="AP15" s="97"/>
      <c r="AQ15" s="90"/>
      <c r="AR15" s="90"/>
      <c r="AS15" s="97"/>
      <c r="AT15" s="97"/>
      <c r="AU15" s="90"/>
      <c r="AV15" s="90"/>
      <c r="AW15" s="97"/>
      <c r="AX15" s="97"/>
      <c r="AY15" s="90"/>
      <c r="AZ15" s="90"/>
      <c r="BA15" s="97"/>
      <c r="BB15" s="97"/>
      <c r="BC15" s="90"/>
      <c r="BD15" s="90"/>
      <c r="BE15" s="97"/>
      <c r="BF15" s="97"/>
      <c r="BG15" s="90"/>
      <c r="BH15" s="90"/>
      <c r="BI15" s="97"/>
      <c r="BJ15" s="97"/>
      <c r="BK15" s="90"/>
      <c r="BL15" s="90"/>
      <c r="BM15" s="97"/>
      <c r="BN15" s="97"/>
      <c r="BO15" s="90"/>
      <c r="BP15" s="90"/>
      <c r="BQ15" s="97"/>
      <c r="BR15" s="97"/>
      <c r="BS15" s="90"/>
      <c r="BT15" s="90"/>
      <c r="BU15" s="97"/>
      <c r="BV15" s="97"/>
      <c r="BW15" s="90"/>
      <c r="BX15" s="90"/>
      <c r="BY15" s="97"/>
      <c r="BZ15" s="97"/>
      <c r="CA15" s="90"/>
      <c r="CB15" s="90"/>
      <c r="CC15" s="97"/>
      <c r="CD15" s="97"/>
      <c r="CE15" s="90"/>
      <c r="CF15" s="90"/>
      <c r="CG15" s="97"/>
      <c r="CH15" s="97"/>
      <c r="CI15" s="90"/>
      <c r="CJ15" s="90"/>
      <c r="CK15" s="97"/>
      <c r="CL15" s="97"/>
      <c r="CM15" s="90"/>
      <c r="CN15" s="90"/>
      <c r="CO15" s="97"/>
      <c r="CP15" s="97"/>
      <c r="CQ15" s="90"/>
      <c r="CR15" s="90"/>
      <c r="CS15" s="97"/>
      <c r="CT15" s="97"/>
      <c r="CU15" s="90"/>
      <c r="CV15" s="90"/>
      <c r="CW15" s="97"/>
      <c r="CX15" s="97"/>
      <c r="CY15" s="90"/>
      <c r="CZ15" s="90"/>
      <c r="DA15" s="97"/>
      <c r="DB15" s="97"/>
      <c r="DC15" s="67"/>
    </row>
    <row r="16" spans="1:107" ht="14.25" customHeight="1" x14ac:dyDescent="0.2">
      <c r="A16" s="96"/>
      <c r="B16" s="96"/>
      <c r="C16" s="90"/>
      <c r="D16" s="90"/>
      <c r="E16" s="97"/>
      <c r="F16" s="97"/>
      <c r="G16" s="90"/>
      <c r="H16" s="90"/>
      <c r="I16" s="97"/>
      <c r="J16" s="97"/>
      <c r="K16" s="90"/>
      <c r="L16" s="90"/>
      <c r="M16" s="97"/>
      <c r="N16" s="97"/>
      <c r="O16" s="90"/>
      <c r="P16" s="90"/>
      <c r="Q16" s="97"/>
      <c r="R16" s="97"/>
      <c r="S16" s="90"/>
      <c r="T16" s="90"/>
      <c r="U16" s="97"/>
      <c r="V16" s="97"/>
      <c r="W16" s="90"/>
      <c r="X16" s="90"/>
      <c r="Y16" s="97"/>
      <c r="Z16" s="97"/>
      <c r="AA16" s="90"/>
      <c r="AB16" s="90"/>
      <c r="AC16" s="97"/>
      <c r="AD16" s="97"/>
      <c r="AE16" s="90"/>
      <c r="AF16" s="90"/>
      <c r="AG16" s="97"/>
      <c r="AH16" s="97"/>
      <c r="AI16" s="90"/>
      <c r="AJ16" s="90"/>
      <c r="AK16" s="97"/>
      <c r="AL16" s="97"/>
      <c r="AM16" s="90"/>
      <c r="AN16" s="90"/>
      <c r="AO16" s="97"/>
      <c r="AP16" s="97"/>
      <c r="AQ16" s="90"/>
      <c r="AR16" s="90"/>
      <c r="AS16" s="97"/>
      <c r="AT16" s="97"/>
      <c r="AU16" s="90"/>
      <c r="AV16" s="90"/>
      <c r="AW16" s="97"/>
      <c r="AX16" s="97"/>
      <c r="AY16" s="90"/>
      <c r="AZ16" s="90"/>
      <c r="BA16" s="97"/>
      <c r="BB16" s="97"/>
      <c r="BC16" s="90"/>
      <c r="BD16" s="90"/>
      <c r="BE16" s="97"/>
      <c r="BF16" s="97"/>
      <c r="BG16" s="90"/>
      <c r="BH16" s="90"/>
      <c r="BI16" s="97"/>
      <c r="BJ16" s="97"/>
      <c r="BK16" s="90"/>
      <c r="BL16" s="90"/>
      <c r="BM16" s="97"/>
      <c r="BN16" s="97"/>
      <c r="BO16" s="90"/>
      <c r="BP16" s="90"/>
      <c r="BQ16" s="97"/>
      <c r="BR16" s="97"/>
      <c r="BS16" s="90"/>
      <c r="BT16" s="90"/>
      <c r="BU16" s="97"/>
      <c r="BV16" s="97"/>
      <c r="BW16" s="90"/>
      <c r="BX16" s="90"/>
      <c r="BY16" s="97"/>
      <c r="BZ16" s="97"/>
      <c r="CA16" s="90"/>
      <c r="CB16" s="90"/>
      <c r="CC16" s="97"/>
      <c r="CD16" s="97"/>
      <c r="CE16" s="90"/>
      <c r="CF16" s="90"/>
      <c r="CG16" s="97"/>
      <c r="CH16" s="97"/>
      <c r="CI16" s="90"/>
      <c r="CJ16" s="90"/>
      <c r="CK16" s="97"/>
      <c r="CL16" s="97"/>
      <c r="CM16" s="90"/>
      <c r="CN16" s="90"/>
      <c r="CO16" s="97"/>
      <c r="CP16" s="97"/>
      <c r="CQ16" s="90"/>
      <c r="CR16" s="90"/>
      <c r="CS16" s="97"/>
      <c r="CT16" s="97"/>
      <c r="CU16" s="90"/>
      <c r="CV16" s="90"/>
      <c r="CW16" s="97"/>
      <c r="CX16" s="97"/>
      <c r="CY16" s="90"/>
      <c r="CZ16" s="90"/>
      <c r="DA16" s="97"/>
      <c r="DB16" s="97"/>
      <c r="DC16" s="67"/>
    </row>
    <row r="17" spans="1:107" ht="14.25" customHeight="1" x14ac:dyDescent="0.2">
      <c r="A17" s="96"/>
      <c r="B17" s="96"/>
      <c r="C17" s="90"/>
      <c r="D17" s="90"/>
      <c r="E17" s="97"/>
      <c r="F17" s="97"/>
      <c r="G17" s="90"/>
      <c r="H17" s="90"/>
      <c r="I17" s="97"/>
      <c r="J17" s="97"/>
      <c r="K17" s="90"/>
      <c r="L17" s="90"/>
      <c r="M17" s="97"/>
      <c r="N17" s="97"/>
      <c r="O17" s="90"/>
      <c r="P17" s="90"/>
      <c r="Q17" s="97"/>
      <c r="R17" s="97"/>
      <c r="S17" s="90"/>
      <c r="T17" s="90"/>
      <c r="U17" s="97"/>
      <c r="V17" s="97"/>
      <c r="W17" s="90"/>
      <c r="X17" s="90"/>
      <c r="Y17" s="97"/>
      <c r="Z17" s="97"/>
      <c r="AA17" s="90"/>
      <c r="AB17" s="90"/>
      <c r="AC17" s="97"/>
      <c r="AD17" s="97"/>
      <c r="AE17" s="90"/>
      <c r="AF17" s="90"/>
      <c r="AG17" s="97"/>
      <c r="AH17" s="97"/>
      <c r="AI17" s="90"/>
      <c r="AJ17" s="90"/>
      <c r="AK17" s="97"/>
      <c r="AL17" s="97"/>
      <c r="AM17" s="90"/>
      <c r="AN17" s="90"/>
      <c r="AO17" s="97"/>
      <c r="AP17" s="97"/>
      <c r="AQ17" s="90"/>
      <c r="AR17" s="90"/>
      <c r="AS17" s="97"/>
      <c r="AT17" s="97"/>
      <c r="AU17" s="90"/>
      <c r="AV17" s="90"/>
      <c r="AW17" s="97"/>
      <c r="AX17" s="97"/>
      <c r="AY17" s="90"/>
      <c r="AZ17" s="90"/>
      <c r="BA17" s="97"/>
      <c r="BB17" s="97"/>
      <c r="BC17" s="90"/>
      <c r="BD17" s="90"/>
      <c r="BE17" s="97"/>
      <c r="BF17" s="97"/>
      <c r="BG17" s="90"/>
      <c r="BH17" s="90"/>
      <c r="BI17" s="97"/>
      <c r="BJ17" s="97"/>
      <c r="BK17" s="90"/>
      <c r="BL17" s="90"/>
      <c r="BM17" s="97"/>
      <c r="BN17" s="97"/>
      <c r="BO17" s="90"/>
      <c r="BP17" s="90"/>
      <c r="BQ17" s="97"/>
      <c r="BR17" s="97"/>
      <c r="BS17" s="90"/>
      <c r="BT17" s="90"/>
      <c r="BU17" s="97"/>
      <c r="BV17" s="97"/>
      <c r="BW17" s="90"/>
      <c r="BX17" s="90"/>
      <c r="BY17" s="97"/>
      <c r="BZ17" s="97"/>
      <c r="CA17" s="90"/>
      <c r="CB17" s="90"/>
      <c r="CC17" s="97"/>
      <c r="CD17" s="97"/>
      <c r="CE17" s="90"/>
      <c r="CF17" s="90"/>
      <c r="CG17" s="97"/>
      <c r="CH17" s="97"/>
      <c r="CI17" s="90"/>
      <c r="CJ17" s="90"/>
      <c r="CK17" s="97"/>
      <c r="CL17" s="97"/>
      <c r="CM17" s="90"/>
      <c r="CN17" s="90"/>
      <c r="CO17" s="97"/>
      <c r="CP17" s="97"/>
      <c r="CQ17" s="90"/>
      <c r="CR17" s="90"/>
      <c r="CS17" s="97"/>
      <c r="CT17" s="97"/>
      <c r="CU17" s="90"/>
      <c r="CV17" s="90"/>
      <c r="CW17" s="97"/>
      <c r="CX17" s="97"/>
      <c r="CY17" s="90"/>
      <c r="CZ17" s="90"/>
      <c r="DA17" s="97"/>
      <c r="DB17" s="97"/>
      <c r="DC17" s="67"/>
    </row>
    <row r="18" spans="1:107" ht="14.25" customHeight="1" x14ac:dyDescent="0.2">
      <c r="A18" s="96"/>
      <c r="B18" s="96"/>
      <c r="C18" s="90"/>
      <c r="D18" s="90"/>
      <c r="E18" s="97"/>
      <c r="F18" s="97"/>
      <c r="G18" s="90"/>
      <c r="H18" s="90"/>
      <c r="I18" s="97"/>
      <c r="J18" s="97"/>
      <c r="K18" s="90"/>
      <c r="L18" s="90"/>
      <c r="M18" s="97"/>
      <c r="N18" s="97"/>
      <c r="O18" s="90"/>
      <c r="P18" s="90"/>
      <c r="Q18" s="97"/>
      <c r="R18" s="97"/>
      <c r="S18" s="90"/>
      <c r="T18" s="90"/>
      <c r="U18" s="97"/>
      <c r="V18" s="97"/>
      <c r="W18" s="90"/>
      <c r="X18" s="90"/>
      <c r="Y18" s="97"/>
      <c r="Z18" s="97"/>
      <c r="AA18" s="90"/>
      <c r="AB18" s="90"/>
      <c r="AC18" s="97"/>
      <c r="AD18" s="97"/>
      <c r="AE18" s="90"/>
      <c r="AF18" s="90"/>
      <c r="AG18" s="97"/>
      <c r="AH18" s="97"/>
      <c r="AI18" s="90"/>
      <c r="AJ18" s="90"/>
      <c r="AK18" s="97"/>
      <c r="AL18" s="97"/>
      <c r="AM18" s="90"/>
      <c r="AN18" s="90"/>
      <c r="AO18" s="97"/>
      <c r="AP18" s="97"/>
      <c r="AQ18" s="90"/>
      <c r="AR18" s="90"/>
      <c r="AS18" s="97"/>
      <c r="AT18" s="97"/>
      <c r="AU18" s="90"/>
      <c r="AV18" s="90"/>
      <c r="AW18" s="97"/>
      <c r="AX18" s="97"/>
      <c r="AY18" s="90"/>
      <c r="AZ18" s="90"/>
      <c r="BA18" s="97"/>
      <c r="BB18" s="97"/>
      <c r="BC18" s="90"/>
      <c r="BD18" s="90"/>
      <c r="BE18" s="97"/>
      <c r="BF18" s="97"/>
      <c r="BG18" s="90"/>
      <c r="BH18" s="90"/>
      <c r="BI18" s="97"/>
      <c r="BJ18" s="97"/>
      <c r="BK18" s="90"/>
      <c r="BL18" s="90"/>
      <c r="BM18" s="97"/>
      <c r="BN18" s="97"/>
      <c r="BO18" s="90"/>
      <c r="BP18" s="90"/>
      <c r="BQ18" s="97"/>
      <c r="BR18" s="97"/>
      <c r="BS18" s="90"/>
      <c r="BT18" s="90"/>
      <c r="BU18" s="97"/>
      <c r="BV18" s="97"/>
      <c r="BW18" s="90"/>
      <c r="BX18" s="90"/>
      <c r="BY18" s="97"/>
      <c r="BZ18" s="97"/>
      <c r="CA18" s="90"/>
      <c r="CB18" s="90"/>
      <c r="CC18" s="97"/>
      <c r="CD18" s="97"/>
      <c r="CE18" s="90"/>
      <c r="CF18" s="90"/>
      <c r="CG18" s="97"/>
      <c r="CH18" s="97"/>
      <c r="CI18" s="90"/>
      <c r="CJ18" s="90"/>
      <c r="CK18" s="97"/>
      <c r="CL18" s="97"/>
      <c r="CM18" s="90"/>
      <c r="CN18" s="90"/>
      <c r="CO18" s="97"/>
      <c r="CP18" s="97"/>
      <c r="CQ18" s="90"/>
      <c r="CR18" s="90"/>
      <c r="CS18" s="97"/>
      <c r="CT18" s="97"/>
      <c r="CU18" s="90"/>
      <c r="CV18" s="90"/>
      <c r="CW18" s="97"/>
      <c r="CX18" s="97"/>
      <c r="CY18" s="90"/>
      <c r="CZ18" s="90"/>
      <c r="DA18" s="97"/>
      <c r="DB18" s="97"/>
      <c r="DC18" s="67"/>
    </row>
    <row r="19" spans="1:107" ht="14.25" customHeight="1" x14ac:dyDescent="0.2">
      <c r="A19" s="96"/>
      <c r="B19" s="96"/>
      <c r="C19" s="90"/>
      <c r="D19" s="90"/>
      <c r="E19" s="97"/>
      <c r="F19" s="97"/>
      <c r="G19" s="90"/>
      <c r="H19" s="90"/>
      <c r="I19" s="97"/>
      <c r="J19" s="97"/>
      <c r="K19" s="90"/>
      <c r="L19" s="90"/>
      <c r="M19" s="97"/>
      <c r="N19" s="97"/>
      <c r="O19" s="90"/>
      <c r="P19" s="90"/>
      <c r="Q19" s="97"/>
      <c r="R19" s="97"/>
      <c r="S19" s="90"/>
      <c r="T19" s="90"/>
      <c r="U19" s="97"/>
      <c r="V19" s="97"/>
      <c r="W19" s="90"/>
      <c r="X19" s="90"/>
      <c r="Y19" s="97"/>
      <c r="Z19" s="97"/>
      <c r="AA19" s="90"/>
      <c r="AB19" s="90"/>
      <c r="AC19" s="97"/>
      <c r="AD19" s="97"/>
      <c r="AE19" s="90"/>
      <c r="AF19" s="90"/>
      <c r="AG19" s="97"/>
      <c r="AH19" s="97"/>
      <c r="AI19" s="90"/>
      <c r="AJ19" s="90"/>
      <c r="AK19" s="97"/>
      <c r="AL19" s="97"/>
      <c r="AM19" s="90"/>
      <c r="AN19" s="90"/>
      <c r="AO19" s="97"/>
      <c r="AP19" s="97"/>
      <c r="AQ19" s="90"/>
      <c r="AR19" s="90"/>
      <c r="AS19" s="97"/>
      <c r="AT19" s="97"/>
      <c r="AU19" s="90"/>
      <c r="AV19" s="90"/>
      <c r="AW19" s="97"/>
      <c r="AX19" s="97"/>
      <c r="AY19" s="90"/>
      <c r="AZ19" s="90"/>
      <c r="BA19" s="97"/>
      <c r="BB19" s="97"/>
      <c r="BC19" s="90"/>
      <c r="BD19" s="90"/>
      <c r="BE19" s="97"/>
      <c r="BF19" s="97"/>
      <c r="BG19" s="90"/>
      <c r="BH19" s="90"/>
      <c r="BI19" s="97"/>
      <c r="BJ19" s="97"/>
      <c r="BK19" s="90"/>
      <c r="BL19" s="90"/>
      <c r="BM19" s="97"/>
      <c r="BN19" s="97"/>
      <c r="BO19" s="90"/>
      <c r="BP19" s="90"/>
      <c r="BQ19" s="97"/>
      <c r="BR19" s="97"/>
      <c r="BS19" s="90"/>
      <c r="BT19" s="90"/>
      <c r="BU19" s="97"/>
      <c r="BV19" s="97"/>
      <c r="BW19" s="90"/>
      <c r="BX19" s="90"/>
      <c r="BY19" s="97"/>
      <c r="BZ19" s="97"/>
      <c r="CA19" s="90"/>
      <c r="CB19" s="90"/>
      <c r="CC19" s="97"/>
      <c r="CD19" s="97"/>
      <c r="CE19" s="90"/>
      <c r="CF19" s="90"/>
      <c r="CG19" s="97"/>
      <c r="CH19" s="97"/>
      <c r="CI19" s="90"/>
      <c r="CJ19" s="90"/>
      <c r="CK19" s="97"/>
      <c r="CL19" s="97"/>
      <c r="CM19" s="90"/>
      <c r="CN19" s="90"/>
      <c r="CO19" s="97"/>
      <c r="CP19" s="97"/>
      <c r="CQ19" s="90"/>
      <c r="CR19" s="90"/>
      <c r="CS19" s="97"/>
      <c r="CT19" s="97"/>
      <c r="CU19" s="90"/>
      <c r="CV19" s="90"/>
      <c r="CW19" s="97"/>
      <c r="CX19" s="97"/>
      <c r="CY19" s="90"/>
      <c r="CZ19" s="90"/>
      <c r="DA19" s="97"/>
      <c r="DB19" s="97"/>
      <c r="DC19" s="67"/>
    </row>
    <row r="20" spans="1:107" ht="14.25" customHeight="1" x14ac:dyDescent="0.2">
      <c r="A20" s="96"/>
      <c r="B20" s="96"/>
      <c r="C20" s="90"/>
      <c r="D20" s="90"/>
      <c r="E20" s="97"/>
      <c r="F20" s="97"/>
      <c r="G20" s="90"/>
      <c r="H20" s="90"/>
      <c r="I20" s="97"/>
      <c r="J20" s="97"/>
      <c r="K20" s="90"/>
      <c r="L20" s="90"/>
      <c r="M20" s="97"/>
      <c r="N20" s="97"/>
      <c r="O20" s="90"/>
      <c r="P20" s="90"/>
      <c r="Q20" s="97"/>
      <c r="R20" s="97"/>
      <c r="S20" s="90"/>
      <c r="T20" s="90"/>
      <c r="U20" s="97"/>
      <c r="V20" s="97"/>
      <c r="W20" s="90"/>
      <c r="X20" s="90"/>
      <c r="Y20" s="97"/>
      <c r="Z20" s="97"/>
      <c r="AA20" s="90"/>
      <c r="AB20" s="90"/>
      <c r="AC20" s="97"/>
      <c r="AD20" s="97"/>
      <c r="AE20" s="90"/>
      <c r="AF20" s="90"/>
      <c r="AG20" s="97"/>
      <c r="AH20" s="97"/>
      <c r="AI20" s="90"/>
      <c r="AJ20" s="90"/>
      <c r="AK20" s="97"/>
      <c r="AL20" s="97"/>
      <c r="AM20" s="90"/>
      <c r="AN20" s="90"/>
      <c r="AO20" s="97"/>
      <c r="AP20" s="97"/>
      <c r="AQ20" s="90"/>
      <c r="AR20" s="90"/>
      <c r="AS20" s="97"/>
      <c r="AT20" s="97"/>
      <c r="AU20" s="90"/>
      <c r="AV20" s="90"/>
      <c r="AW20" s="97"/>
      <c r="AX20" s="97"/>
      <c r="AY20" s="90"/>
      <c r="AZ20" s="90"/>
      <c r="BA20" s="97"/>
      <c r="BB20" s="97"/>
      <c r="BC20" s="90"/>
      <c r="BD20" s="90"/>
      <c r="BE20" s="97"/>
      <c r="BF20" s="97"/>
      <c r="BG20" s="90"/>
      <c r="BH20" s="90"/>
      <c r="BI20" s="97"/>
      <c r="BJ20" s="97"/>
      <c r="BK20" s="90"/>
      <c r="BL20" s="90"/>
      <c r="BM20" s="97"/>
      <c r="BN20" s="97"/>
      <c r="BO20" s="90"/>
      <c r="BP20" s="90"/>
      <c r="BQ20" s="97"/>
      <c r="BR20" s="97"/>
      <c r="BS20" s="90"/>
      <c r="BT20" s="90"/>
      <c r="BU20" s="97"/>
      <c r="BV20" s="97"/>
      <c r="BW20" s="90"/>
      <c r="BX20" s="90"/>
      <c r="BY20" s="97"/>
      <c r="BZ20" s="97"/>
      <c r="CA20" s="90"/>
      <c r="CB20" s="90"/>
      <c r="CC20" s="97"/>
      <c r="CD20" s="97"/>
      <c r="CE20" s="90"/>
      <c r="CF20" s="90"/>
      <c r="CG20" s="97"/>
      <c r="CH20" s="97"/>
      <c r="CI20" s="90"/>
      <c r="CJ20" s="90"/>
      <c r="CK20" s="97"/>
      <c r="CL20" s="97"/>
      <c r="CM20" s="90"/>
      <c r="CN20" s="90"/>
      <c r="CO20" s="97"/>
      <c r="CP20" s="97"/>
      <c r="CQ20" s="90"/>
      <c r="CR20" s="90"/>
      <c r="CS20" s="97"/>
      <c r="CT20" s="97"/>
      <c r="CU20" s="90"/>
      <c r="CV20" s="90"/>
      <c r="CW20" s="97"/>
      <c r="CX20" s="97"/>
      <c r="CY20" s="90"/>
      <c r="CZ20" s="90"/>
      <c r="DA20" s="97"/>
      <c r="DB20" s="97"/>
      <c r="DC20" s="67"/>
    </row>
    <row r="21" spans="1:107" ht="14.25" customHeight="1" x14ac:dyDescent="0.2">
      <c r="A21" s="96"/>
      <c r="B21" s="96"/>
      <c r="C21" s="90"/>
      <c r="D21" s="90"/>
      <c r="E21" s="120"/>
      <c r="F21" s="120"/>
      <c r="G21" s="90"/>
      <c r="H21" s="90"/>
      <c r="I21" s="97"/>
      <c r="J21" s="97"/>
      <c r="K21" s="90"/>
      <c r="L21" s="90"/>
      <c r="M21" s="97"/>
      <c r="N21" s="97"/>
      <c r="O21" s="90"/>
      <c r="P21" s="90"/>
      <c r="Q21" s="97"/>
      <c r="R21" s="97"/>
      <c r="S21" s="90"/>
      <c r="T21" s="90"/>
      <c r="U21" s="97"/>
      <c r="V21" s="97"/>
      <c r="W21" s="90"/>
      <c r="X21" s="90"/>
      <c r="Y21" s="97"/>
      <c r="Z21" s="97"/>
      <c r="AA21" s="90"/>
      <c r="AB21" s="90"/>
      <c r="AC21" s="97"/>
      <c r="AD21" s="97"/>
      <c r="AE21" s="90"/>
      <c r="AF21" s="90"/>
      <c r="AG21" s="97"/>
      <c r="AH21" s="97"/>
      <c r="AI21" s="90"/>
      <c r="AJ21" s="90"/>
      <c r="AK21" s="97"/>
      <c r="AL21" s="97"/>
      <c r="AM21" s="90"/>
      <c r="AN21" s="90"/>
      <c r="AO21" s="97"/>
      <c r="AP21" s="97"/>
      <c r="AQ21" s="90"/>
      <c r="AR21" s="90"/>
      <c r="AS21" s="97"/>
      <c r="AT21" s="97"/>
      <c r="AU21" s="90"/>
      <c r="AV21" s="90"/>
      <c r="AW21" s="97"/>
      <c r="AX21" s="97"/>
      <c r="AY21" s="90"/>
      <c r="AZ21" s="90"/>
      <c r="BA21" s="97"/>
      <c r="BB21" s="97"/>
      <c r="BC21" s="90"/>
      <c r="BD21" s="90"/>
      <c r="BE21" s="97"/>
      <c r="BF21" s="97"/>
      <c r="BG21" s="90"/>
      <c r="BH21" s="90"/>
      <c r="BI21" s="97"/>
      <c r="BJ21" s="97"/>
      <c r="BK21" s="90"/>
      <c r="BL21" s="90"/>
      <c r="BM21" s="97"/>
      <c r="BN21" s="97"/>
      <c r="BO21" s="90"/>
      <c r="BP21" s="90"/>
      <c r="BQ21" s="97"/>
      <c r="BR21" s="97"/>
      <c r="BS21" s="90"/>
      <c r="BT21" s="90"/>
      <c r="BU21" s="97"/>
      <c r="BV21" s="97"/>
      <c r="BW21" s="90"/>
      <c r="BX21" s="90"/>
      <c r="BY21" s="97"/>
      <c r="BZ21" s="97"/>
      <c r="CA21" s="90"/>
      <c r="CB21" s="90"/>
      <c r="CC21" s="97"/>
      <c r="CD21" s="97"/>
      <c r="CE21" s="90"/>
      <c r="CF21" s="90"/>
      <c r="CG21" s="97"/>
      <c r="CH21" s="97"/>
      <c r="CI21" s="90"/>
      <c r="CJ21" s="90"/>
      <c r="CK21" s="97"/>
      <c r="CL21" s="97"/>
      <c r="CM21" s="90"/>
      <c r="CN21" s="90"/>
      <c r="CO21" s="97"/>
      <c r="CP21" s="97"/>
      <c r="CQ21" s="90"/>
      <c r="CR21" s="90"/>
      <c r="CS21" s="97"/>
      <c r="CT21" s="97"/>
      <c r="CU21" s="90"/>
      <c r="CV21" s="90"/>
      <c r="CW21" s="97"/>
      <c r="CX21" s="97"/>
      <c r="CY21" s="90"/>
      <c r="CZ21" s="90"/>
      <c r="DA21" s="97"/>
      <c r="DB21" s="97"/>
      <c r="DC21" s="67"/>
    </row>
    <row r="22" spans="1:107" ht="14.25" customHeight="1" x14ac:dyDescent="0.2">
      <c r="A22" s="96"/>
      <c r="B22" s="96"/>
      <c r="C22" s="90"/>
      <c r="D22" s="90"/>
      <c r="E22" s="97"/>
      <c r="F22" s="97"/>
      <c r="G22" s="90"/>
      <c r="H22" s="90"/>
      <c r="I22" s="97"/>
      <c r="J22" s="97"/>
      <c r="K22" s="90"/>
      <c r="L22" s="90"/>
      <c r="M22" s="97"/>
      <c r="N22" s="97"/>
      <c r="O22" s="90"/>
      <c r="P22" s="90"/>
      <c r="Q22" s="97"/>
      <c r="R22" s="97"/>
      <c r="S22" s="90"/>
      <c r="T22" s="90"/>
      <c r="U22" s="97"/>
      <c r="V22" s="97"/>
      <c r="W22" s="90"/>
      <c r="X22" s="90"/>
      <c r="Y22" s="97"/>
      <c r="Z22" s="97"/>
      <c r="AA22" s="90"/>
      <c r="AB22" s="90"/>
      <c r="AC22" s="97"/>
      <c r="AD22" s="97"/>
      <c r="AE22" s="90"/>
      <c r="AF22" s="90"/>
      <c r="AG22" s="97"/>
      <c r="AH22" s="97"/>
      <c r="AI22" s="90"/>
      <c r="AJ22" s="90"/>
      <c r="AK22" s="97"/>
      <c r="AL22" s="97"/>
      <c r="AM22" s="90"/>
      <c r="AN22" s="90"/>
      <c r="AO22" s="97"/>
      <c r="AP22" s="97"/>
      <c r="AQ22" s="90"/>
      <c r="AR22" s="90"/>
      <c r="AS22" s="97"/>
      <c r="AT22" s="97"/>
      <c r="AU22" s="90"/>
      <c r="AV22" s="90"/>
      <c r="AW22" s="97"/>
      <c r="AX22" s="97"/>
      <c r="AY22" s="90"/>
      <c r="AZ22" s="90"/>
      <c r="BA22" s="97"/>
      <c r="BB22" s="97"/>
      <c r="BC22" s="90"/>
      <c r="BD22" s="90"/>
      <c r="BE22" s="97"/>
      <c r="BF22" s="97"/>
      <c r="BG22" s="90"/>
      <c r="BH22" s="90"/>
      <c r="BI22" s="97"/>
      <c r="BJ22" s="97"/>
      <c r="BK22" s="90"/>
      <c r="BL22" s="90"/>
      <c r="BM22" s="97"/>
      <c r="BN22" s="97"/>
      <c r="BO22" s="90"/>
      <c r="BP22" s="90"/>
      <c r="BQ22" s="97"/>
      <c r="BR22" s="97"/>
      <c r="BS22" s="90"/>
      <c r="BT22" s="90"/>
      <c r="BU22" s="97"/>
      <c r="BV22" s="97"/>
      <c r="BW22" s="90"/>
      <c r="BX22" s="90"/>
      <c r="BY22" s="97"/>
      <c r="BZ22" s="97"/>
      <c r="CA22" s="90"/>
      <c r="CB22" s="90"/>
      <c r="CC22" s="97"/>
      <c r="CD22" s="97"/>
      <c r="CE22" s="90"/>
      <c r="CF22" s="90"/>
      <c r="CG22" s="97"/>
      <c r="CH22" s="97"/>
      <c r="CI22" s="90"/>
      <c r="CJ22" s="90"/>
      <c r="CK22" s="97"/>
      <c r="CL22" s="97"/>
      <c r="CM22" s="90"/>
      <c r="CN22" s="90"/>
      <c r="CO22" s="97"/>
      <c r="CP22" s="97"/>
      <c r="CQ22" s="90"/>
      <c r="CR22" s="90"/>
      <c r="CS22" s="97"/>
      <c r="CT22" s="97"/>
      <c r="CU22" s="90"/>
      <c r="CV22" s="90"/>
      <c r="CW22" s="97"/>
      <c r="CX22" s="97"/>
      <c r="CY22" s="90"/>
      <c r="CZ22" s="90"/>
      <c r="DA22" s="97"/>
      <c r="DB22" s="97"/>
      <c r="DC22" s="67"/>
    </row>
    <row r="23" spans="1:107" ht="14.25" customHeight="1" x14ac:dyDescent="0.2">
      <c r="A23" s="96"/>
      <c r="B23" s="96"/>
      <c r="C23" s="90"/>
      <c r="D23" s="90"/>
      <c r="E23" s="97"/>
      <c r="F23" s="97"/>
      <c r="G23" s="90"/>
      <c r="H23" s="90"/>
      <c r="I23" s="97"/>
      <c r="J23" s="97"/>
      <c r="K23" s="90"/>
      <c r="L23" s="90"/>
      <c r="M23" s="97"/>
      <c r="N23" s="97"/>
      <c r="O23" s="90"/>
      <c r="P23" s="90"/>
      <c r="Q23" s="97"/>
      <c r="R23" s="97"/>
      <c r="S23" s="90"/>
      <c r="T23" s="90"/>
      <c r="U23" s="97"/>
      <c r="V23" s="97"/>
      <c r="W23" s="90"/>
      <c r="X23" s="90"/>
      <c r="Y23" s="97"/>
      <c r="Z23" s="97"/>
      <c r="AA23" s="90"/>
      <c r="AB23" s="90"/>
      <c r="AC23" s="97"/>
      <c r="AD23" s="97"/>
      <c r="AE23" s="90"/>
      <c r="AF23" s="90"/>
      <c r="AG23" s="97"/>
      <c r="AH23" s="97"/>
      <c r="AI23" s="90"/>
      <c r="AJ23" s="90"/>
      <c r="AK23" s="97"/>
      <c r="AL23" s="97"/>
      <c r="AM23" s="90"/>
      <c r="AN23" s="90"/>
      <c r="AO23" s="97"/>
      <c r="AP23" s="97"/>
      <c r="AQ23" s="90"/>
      <c r="AR23" s="90"/>
      <c r="AS23" s="97"/>
      <c r="AT23" s="97"/>
      <c r="AU23" s="90"/>
      <c r="AV23" s="90"/>
      <c r="AW23" s="97"/>
      <c r="AX23" s="97"/>
      <c r="AY23" s="90"/>
      <c r="AZ23" s="90"/>
      <c r="BA23" s="97"/>
      <c r="BB23" s="97"/>
      <c r="BC23" s="90"/>
      <c r="BD23" s="90"/>
      <c r="BE23" s="97"/>
      <c r="BF23" s="97"/>
      <c r="BG23" s="90"/>
      <c r="BH23" s="90"/>
      <c r="BI23" s="97"/>
      <c r="BJ23" s="97"/>
      <c r="BK23" s="90"/>
      <c r="BL23" s="90"/>
      <c r="BM23" s="97"/>
      <c r="BN23" s="97"/>
      <c r="BO23" s="90"/>
      <c r="BP23" s="90"/>
      <c r="BQ23" s="97"/>
      <c r="BR23" s="97"/>
      <c r="BS23" s="90"/>
      <c r="BT23" s="90"/>
      <c r="BU23" s="97"/>
      <c r="BV23" s="97"/>
      <c r="BW23" s="90"/>
      <c r="BX23" s="90"/>
      <c r="BY23" s="97"/>
      <c r="BZ23" s="97"/>
      <c r="CA23" s="90"/>
      <c r="CB23" s="90"/>
      <c r="CC23" s="97"/>
      <c r="CD23" s="97"/>
      <c r="CE23" s="90"/>
      <c r="CF23" s="90"/>
      <c r="CG23" s="97"/>
      <c r="CH23" s="97"/>
      <c r="CI23" s="90"/>
      <c r="CJ23" s="90"/>
      <c r="CK23" s="97"/>
      <c r="CL23" s="97"/>
      <c r="CM23" s="90"/>
      <c r="CN23" s="90"/>
      <c r="CO23" s="97"/>
      <c r="CP23" s="97"/>
      <c r="CQ23" s="90"/>
      <c r="CR23" s="90"/>
      <c r="CS23" s="97"/>
      <c r="CT23" s="97"/>
      <c r="CU23" s="90"/>
      <c r="CV23" s="90"/>
      <c r="CW23" s="97"/>
      <c r="CX23" s="97"/>
      <c r="CY23" s="90"/>
      <c r="CZ23" s="90"/>
      <c r="DA23" s="97"/>
      <c r="DB23" s="97"/>
      <c r="DC23" s="6"/>
    </row>
    <row r="24" spans="1:107" ht="14.25" customHeight="1" x14ac:dyDescent="0.2">
      <c r="A24" s="96"/>
      <c r="B24" s="96"/>
      <c r="C24" s="91"/>
      <c r="D24" s="91"/>
      <c r="E24" s="97"/>
      <c r="F24" s="97"/>
      <c r="G24" s="91"/>
      <c r="H24" s="91"/>
      <c r="I24" s="97"/>
      <c r="J24" s="97"/>
      <c r="K24" s="91"/>
      <c r="L24" s="91"/>
      <c r="M24" s="97"/>
      <c r="N24" s="97"/>
      <c r="O24" s="91"/>
      <c r="P24" s="91"/>
      <c r="Q24" s="97"/>
      <c r="R24" s="97"/>
      <c r="S24" s="90"/>
      <c r="T24" s="90"/>
      <c r="U24" s="97"/>
      <c r="V24" s="97"/>
      <c r="W24" s="90"/>
      <c r="X24" s="90"/>
      <c r="Y24" s="97"/>
      <c r="Z24" s="97"/>
      <c r="AA24" s="91"/>
      <c r="AB24" s="91"/>
      <c r="AC24" s="97"/>
      <c r="AD24" s="97"/>
      <c r="AE24" s="91"/>
      <c r="AF24" s="91"/>
      <c r="AG24" s="97"/>
      <c r="AH24" s="97"/>
      <c r="AI24" s="91"/>
      <c r="AJ24" s="91"/>
      <c r="AK24" s="97"/>
      <c r="AL24" s="97"/>
      <c r="AM24" s="91"/>
      <c r="AN24" s="91"/>
      <c r="AO24" s="97"/>
      <c r="AP24" s="97"/>
      <c r="AQ24" s="91"/>
      <c r="AR24" s="91"/>
      <c r="AS24" s="97"/>
      <c r="AT24" s="97"/>
      <c r="AU24" s="90"/>
      <c r="AV24" s="90"/>
      <c r="AW24" s="97"/>
      <c r="AX24" s="97"/>
      <c r="AY24" s="91"/>
      <c r="AZ24" s="91"/>
      <c r="BA24" s="97"/>
      <c r="BB24" s="97"/>
      <c r="BC24" s="91"/>
      <c r="BD24" s="91"/>
      <c r="BE24" s="97"/>
      <c r="BF24" s="97"/>
      <c r="BG24" s="91"/>
      <c r="BH24" s="91"/>
      <c r="BI24" s="97"/>
      <c r="BJ24" s="97"/>
      <c r="BK24" s="91"/>
      <c r="BL24" s="91"/>
      <c r="BM24" s="97"/>
      <c r="BN24" s="97"/>
      <c r="BO24" s="91"/>
      <c r="BP24" s="91"/>
      <c r="BQ24" s="97"/>
      <c r="BR24" s="97"/>
      <c r="BS24" s="91"/>
      <c r="BT24" s="91"/>
      <c r="BU24" s="97"/>
      <c r="BV24" s="97"/>
      <c r="BW24" s="91"/>
      <c r="BX24" s="91"/>
      <c r="BY24" s="97"/>
      <c r="BZ24" s="97"/>
      <c r="CA24" s="91"/>
      <c r="CB24" s="91"/>
      <c r="CC24" s="97"/>
      <c r="CD24" s="97"/>
      <c r="CE24" s="90"/>
      <c r="CF24" s="90"/>
      <c r="CG24" s="97"/>
      <c r="CH24" s="97"/>
      <c r="CI24" s="91"/>
      <c r="CJ24" s="91"/>
      <c r="CK24" s="97"/>
      <c r="CL24" s="97"/>
      <c r="CM24" s="91"/>
      <c r="CN24" s="91"/>
      <c r="CO24" s="97"/>
      <c r="CP24" s="97"/>
      <c r="CQ24" s="90"/>
      <c r="CR24" s="90"/>
      <c r="CS24" s="97"/>
      <c r="CT24" s="97"/>
      <c r="CU24" s="90"/>
      <c r="CV24" s="90"/>
      <c r="CW24" s="97"/>
      <c r="CX24" s="97"/>
      <c r="CY24" s="90"/>
      <c r="CZ24" s="90"/>
      <c r="DA24" s="97"/>
      <c r="DB24" s="97"/>
      <c r="DC24" s="6"/>
    </row>
    <row r="25" spans="1:107" ht="15.75" customHeight="1" x14ac:dyDescent="0.2">
      <c r="A25" s="70"/>
      <c r="B25" s="71"/>
      <c r="C25" s="42"/>
      <c r="D25" s="42"/>
      <c r="E25" s="42"/>
      <c r="F25" s="42"/>
      <c r="G25" s="42"/>
      <c r="H25" s="42"/>
      <c r="I25" s="42"/>
      <c r="J25" s="42"/>
      <c r="K25" s="72"/>
      <c r="L25" s="72"/>
      <c r="M25" s="72"/>
      <c r="N25" s="72"/>
      <c r="O25" s="72"/>
      <c r="P25" s="72"/>
      <c r="Q25" s="72"/>
      <c r="R25" s="72"/>
      <c r="S25" s="73"/>
      <c r="T25" s="73"/>
      <c r="U25" s="73"/>
      <c r="V25" s="73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42"/>
      <c r="AJ25" s="42"/>
      <c r="AK25" s="42"/>
      <c r="AL25" s="42"/>
      <c r="AM25" s="42"/>
      <c r="AN25" s="42"/>
      <c r="AO25" s="42"/>
      <c r="AP25" s="42"/>
      <c r="AQ25" s="42"/>
      <c r="AR25" s="42"/>
      <c r="AS25" s="42"/>
      <c r="AT25" s="42"/>
      <c r="AU25" s="73"/>
      <c r="AV25" s="73"/>
      <c r="AW25" s="73"/>
      <c r="AX25" s="73"/>
      <c r="AY25" s="42"/>
      <c r="AZ25" s="42"/>
      <c r="BA25" s="42"/>
      <c r="BB25" s="42"/>
      <c r="BC25" s="72"/>
      <c r="BD25" s="72"/>
      <c r="BE25" s="72"/>
      <c r="BF25" s="72"/>
      <c r="BG25" s="42"/>
      <c r="BH25" s="42"/>
      <c r="BI25" s="42"/>
      <c r="BJ25" s="42"/>
      <c r="BK25" s="72"/>
      <c r="BL25" s="72"/>
      <c r="BM25" s="72"/>
      <c r="BN25" s="72"/>
      <c r="BO25" s="42"/>
      <c r="BP25" s="42"/>
      <c r="BQ25" s="42"/>
      <c r="BR25" s="42"/>
      <c r="BS25" s="73"/>
      <c r="BT25" s="73"/>
      <c r="BU25" s="73"/>
      <c r="BV25" s="73"/>
      <c r="BW25" s="42"/>
      <c r="BX25" s="42"/>
      <c r="BY25" s="42"/>
      <c r="BZ25" s="42"/>
      <c r="CA25" s="72"/>
      <c r="CB25" s="72"/>
      <c r="CC25" s="72"/>
      <c r="CD25" s="72"/>
      <c r="CE25" s="42"/>
      <c r="CF25" s="42"/>
      <c r="CG25" s="42"/>
      <c r="CH25" s="42"/>
      <c r="CI25" s="72"/>
      <c r="CJ25" s="72"/>
      <c r="CK25" s="72"/>
      <c r="CL25" s="72"/>
      <c r="CM25" s="72"/>
      <c r="CN25" s="72"/>
      <c r="CO25" s="72"/>
      <c r="CP25" s="72"/>
      <c r="CQ25" s="73"/>
      <c r="CR25" s="73"/>
      <c r="CS25" s="73"/>
      <c r="CT25" s="73"/>
      <c r="CU25" s="42"/>
      <c r="CV25" s="42"/>
      <c r="CW25" s="42"/>
      <c r="CX25" s="42"/>
      <c r="CY25" s="72"/>
      <c r="CZ25" s="72"/>
      <c r="DA25" s="6"/>
      <c r="DB25" s="6"/>
      <c r="DC25" s="6"/>
    </row>
    <row r="26" spans="1:107" ht="14.25" customHeight="1" x14ac:dyDescent="0.2">
      <c r="A26" s="124" t="s">
        <v>70</v>
      </c>
      <c r="B26" s="123"/>
      <c r="C26" s="125">
        <f>COUNT(C9:C24)</f>
        <v>0</v>
      </c>
      <c r="D26" s="122"/>
      <c r="E26" s="122"/>
      <c r="F26" s="123"/>
      <c r="G26" s="125">
        <f>COUNT(G9:G24)</f>
        <v>0</v>
      </c>
      <c r="H26" s="122"/>
      <c r="I26" s="122"/>
      <c r="J26" s="123"/>
      <c r="K26" s="125">
        <f>COUNT(K9:K24)</f>
        <v>0</v>
      </c>
      <c r="L26" s="122"/>
      <c r="M26" s="122"/>
      <c r="N26" s="123"/>
      <c r="O26" s="125">
        <f>COUNT(O9:O24)</f>
        <v>0</v>
      </c>
      <c r="P26" s="122"/>
      <c r="Q26" s="122"/>
      <c r="R26" s="123"/>
      <c r="S26" s="125">
        <f>COUNT(S9:S24)</f>
        <v>0</v>
      </c>
      <c r="T26" s="122"/>
      <c r="U26" s="122"/>
      <c r="V26" s="123"/>
      <c r="W26" s="125">
        <f>COUNT(W9:W24)</f>
        <v>0</v>
      </c>
      <c r="X26" s="122"/>
      <c r="Y26" s="122"/>
      <c r="Z26" s="123"/>
      <c r="AA26" s="125">
        <f>COUNT(AA9:AA24)</f>
        <v>0</v>
      </c>
      <c r="AB26" s="122"/>
      <c r="AC26" s="122"/>
      <c r="AD26" s="123"/>
      <c r="AE26" s="125">
        <f>COUNT(AE9:AE24)</f>
        <v>0</v>
      </c>
      <c r="AF26" s="122"/>
      <c r="AG26" s="122"/>
      <c r="AH26" s="123"/>
      <c r="AI26" s="125">
        <f>COUNT(AI9:AI24)</f>
        <v>0</v>
      </c>
      <c r="AJ26" s="122"/>
      <c r="AK26" s="122"/>
      <c r="AL26" s="123"/>
      <c r="AM26" s="125">
        <f>COUNT(AM9:AM24)</f>
        <v>0</v>
      </c>
      <c r="AN26" s="122"/>
      <c r="AO26" s="122"/>
      <c r="AP26" s="123"/>
      <c r="AQ26" s="125">
        <f>COUNT(AQ9:AQ24)</f>
        <v>0</v>
      </c>
      <c r="AR26" s="122"/>
      <c r="AS26" s="122"/>
      <c r="AT26" s="123"/>
      <c r="AU26" s="125">
        <f>COUNT(AU9:AU24)</f>
        <v>0</v>
      </c>
      <c r="AV26" s="122"/>
      <c r="AW26" s="122"/>
      <c r="AX26" s="123"/>
      <c r="AY26" s="125">
        <f>COUNT(AY9:AY24)</f>
        <v>0</v>
      </c>
      <c r="AZ26" s="122"/>
      <c r="BA26" s="122"/>
      <c r="BB26" s="123"/>
      <c r="BC26" s="125">
        <f>COUNT(BC9:BC24)</f>
        <v>0</v>
      </c>
      <c r="BD26" s="122"/>
      <c r="BE26" s="122"/>
      <c r="BF26" s="123"/>
      <c r="BG26" s="125">
        <f>COUNT(BG9:BG24)</f>
        <v>0</v>
      </c>
      <c r="BH26" s="122"/>
      <c r="BI26" s="122"/>
      <c r="BJ26" s="123"/>
      <c r="BK26" s="125">
        <f>COUNT(BK9:BK24)</f>
        <v>0</v>
      </c>
      <c r="BL26" s="122"/>
      <c r="BM26" s="122"/>
      <c r="BN26" s="123"/>
      <c r="BO26" s="125">
        <f>COUNT(BO9:BO24)</f>
        <v>0</v>
      </c>
      <c r="BP26" s="122"/>
      <c r="BQ26" s="122"/>
      <c r="BR26" s="123"/>
      <c r="BS26" s="125">
        <f>COUNT(BS9:BS24)</f>
        <v>0</v>
      </c>
      <c r="BT26" s="122"/>
      <c r="BU26" s="122"/>
      <c r="BV26" s="123"/>
      <c r="BW26" s="125">
        <f>COUNT(BW9:BW24)</f>
        <v>0</v>
      </c>
      <c r="BX26" s="122"/>
      <c r="BY26" s="122"/>
      <c r="BZ26" s="123"/>
      <c r="CA26" s="125">
        <f>COUNT(CA9:CA24)</f>
        <v>0</v>
      </c>
      <c r="CB26" s="122"/>
      <c r="CC26" s="122"/>
      <c r="CD26" s="123"/>
      <c r="CE26" s="125">
        <f>COUNT(CE9:CE24)</f>
        <v>0</v>
      </c>
      <c r="CF26" s="122"/>
      <c r="CG26" s="122"/>
      <c r="CH26" s="123"/>
      <c r="CI26" s="125">
        <f>COUNT(CI9:CI24)</f>
        <v>0</v>
      </c>
      <c r="CJ26" s="122"/>
      <c r="CK26" s="122"/>
      <c r="CL26" s="123"/>
      <c r="CM26" s="125">
        <f>COUNT(CM9:CM24)</f>
        <v>0</v>
      </c>
      <c r="CN26" s="122"/>
      <c r="CO26" s="122"/>
      <c r="CP26" s="123"/>
      <c r="CQ26" s="125">
        <f>COUNT(CQ9:CQ24)</f>
        <v>0</v>
      </c>
      <c r="CR26" s="122"/>
      <c r="CS26" s="122"/>
      <c r="CT26" s="123"/>
      <c r="CU26" s="125">
        <f>COUNT(CU9:CU24)</f>
        <v>0</v>
      </c>
      <c r="CV26" s="122"/>
      <c r="CW26" s="122"/>
      <c r="CX26" s="123"/>
      <c r="CY26" s="125">
        <f>COUNT(CY9:CY24)</f>
        <v>0</v>
      </c>
      <c r="CZ26" s="122"/>
      <c r="DA26" s="122"/>
      <c r="DB26" s="123"/>
      <c r="DC26" s="6"/>
    </row>
    <row r="27" spans="1:107" ht="15.75" customHeight="1" x14ac:dyDescent="0.2">
      <c r="A27" s="124" t="s">
        <v>30</v>
      </c>
      <c r="B27" s="123"/>
      <c r="C27" s="121">
        <f>COUNTIF(C9:C23,"Absent")</f>
        <v>0</v>
      </c>
      <c r="D27" s="122"/>
      <c r="E27" s="122"/>
      <c r="F27" s="123"/>
      <c r="G27" s="121">
        <f>COUNTIF(G9:G23,"Absent")</f>
        <v>0</v>
      </c>
      <c r="H27" s="122"/>
      <c r="I27" s="122"/>
      <c r="J27" s="123"/>
      <c r="K27" s="121">
        <f>COUNTIF(K9:K23,"Absent")</f>
        <v>0</v>
      </c>
      <c r="L27" s="122"/>
      <c r="M27" s="122"/>
      <c r="N27" s="123"/>
      <c r="O27" s="121">
        <f>COUNTIF(O9:O23,"Absent")</f>
        <v>0</v>
      </c>
      <c r="P27" s="122"/>
      <c r="Q27" s="122"/>
      <c r="R27" s="123"/>
      <c r="S27" s="121">
        <f>COUNTIF(S9:S23,"Absent")</f>
        <v>0</v>
      </c>
      <c r="T27" s="122"/>
      <c r="U27" s="122"/>
      <c r="V27" s="123"/>
      <c r="W27" s="121">
        <f>COUNTIF(W9:W23,"Absent")</f>
        <v>0</v>
      </c>
      <c r="X27" s="122"/>
      <c r="Y27" s="122"/>
      <c r="Z27" s="123"/>
      <c r="AA27" s="121">
        <f>COUNTIF(AA9:AA23,"Absent")</f>
        <v>0</v>
      </c>
      <c r="AB27" s="122"/>
      <c r="AC27" s="122"/>
      <c r="AD27" s="123"/>
      <c r="AE27" s="121">
        <f>COUNTIF(AE9:AE23,"Absent")</f>
        <v>0</v>
      </c>
      <c r="AF27" s="122"/>
      <c r="AG27" s="122"/>
      <c r="AH27" s="123"/>
      <c r="AI27" s="121">
        <f>COUNTIF(AI9:AI23,"Absent")</f>
        <v>0</v>
      </c>
      <c r="AJ27" s="122"/>
      <c r="AK27" s="122"/>
      <c r="AL27" s="123"/>
      <c r="AM27" s="121">
        <f>COUNTIF(AM9:AM23,"Absent")</f>
        <v>0</v>
      </c>
      <c r="AN27" s="122"/>
      <c r="AO27" s="122"/>
      <c r="AP27" s="123"/>
      <c r="AQ27" s="121">
        <f>COUNTIF(AQ9:AQ23,"Absent")</f>
        <v>0</v>
      </c>
      <c r="AR27" s="122"/>
      <c r="AS27" s="122"/>
      <c r="AT27" s="123"/>
      <c r="AU27" s="121">
        <f>COUNTIF(AU9:AU23,"Absent")</f>
        <v>0</v>
      </c>
      <c r="AV27" s="122"/>
      <c r="AW27" s="122"/>
      <c r="AX27" s="123"/>
      <c r="AY27" s="121">
        <f>COUNTIF(AY9:AY23,"Absent")</f>
        <v>0</v>
      </c>
      <c r="AZ27" s="122"/>
      <c r="BA27" s="122"/>
      <c r="BB27" s="123"/>
      <c r="BC27" s="121">
        <f>COUNTIF(BC9:BC23,"Absent")</f>
        <v>0</v>
      </c>
      <c r="BD27" s="122"/>
      <c r="BE27" s="122"/>
      <c r="BF27" s="123"/>
      <c r="BG27" s="121">
        <f>COUNTIF(BG9:BG23,"Absent")</f>
        <v>0</v>
      </c>
      <c r="BH27" s="122"/>
      <c r="BI27" s="122"/>
      <c r="BJ27" s="123"/>
      <c r="BK27" s="121">
        <f>COUNTIF(BK9:BK23,"Absent")</f>
        <v>0</v>
      </c>
      <c r="BL27" s="122"/>
      <c r="BM27" s="122"/>
      <c r="BN27" s="123"/>
      <c r="BO27" s="121">
        <f>COUNTIF(BO9:BO23,"Absent")</f>
        <v>0</v>
      </c>
      <c r="BP27" s="122"/>
      <c r="BQ27" s="122"/>
      <c r="BR27" s="123"/>
      <c r="BS27" s="121">
        <f>COUNTIF(BS9:BS23,"Absent")</f>
        <v>0</v>
      </c>
      <c r="BT27" s="122"/>
      <c r="BU27" s="122"/>
      <c r="BV27" s="123"/>
      <c r="BW27" s="121">
        <f>COUNTIF(BW9:BW23,"Absent")</f>
        <v>0</v>
      </c>
      <c r="BX27" s="122"/>
      <c r="BY27" s="122"/>
      <c r="BZ27" s="123"/>
      <c r="CA27" s="121">
        <f>COUNTIF(CA9:CA23,"Absent")</f>
        <v>0</v>
      </c>
      <c r="CB27" s="122"/>
      <c r="CC27" s="122"/>
      <c r="CD27" s="123"/>
      <c r="CE27" s="121">
        <f>COUNTIF(CE9:CE23,"Absent")</f>
        <v>0</v>
      </c>
      <c r="CF27" s="122"/>
      <c r="CG27" s="122"/>
      <c r="CH27" s="123"/>
      <c r="CI27" s="121">
        <f>COUNTIF(CI9:CI23,"Absent")</f>
        <v>0</v>
      </c>
      <c r="CJ27" s="122"/>
      <c r="CK27" s="122"/>
      <c r="CL27" s="123"/>
      <c r="CM27" s="121">
        <f>COUNTIF(CM9:CM23,"Absent")</f>
        <v>0</v>
      </c>
      <c r="CN27" s="122"/>
      <c r="CO27" s="122"/>
      <c r="CP27" s="123"/>
      <c r="CQ27" s="121">
        <f>COUNTIF(CQ9:CQ23,"Absent")</f>
        <v>0</v>
      </c>
      <c r="CR27" s="122"/>
      <c r="CS27" s="122"/>
      <c r="CT27" s="123"/>
      <c r="CU27" s="121">
        <f>COUNTIF(CU9:CU23,"Absent")</f>
        <v>0</v>
      </c>
      <c r="CV27" s="122"/>
      <c r="CW27" s="122"/>
      <c r="CX27" s="123"/>
      <c r="CY27" s="121">
        <f>COUNTIF(CY9:CY23,"Absent")</f>
        <v>0</v>
      </c>
      <c r="CZ27" s="122"/>
      <c r="DA27" s="122"/>
      <c r="DB27" s="123"/>
      <c r="DC27" s="6"/>
    </row>
    <row r="28" spans="1:107" ht="15.75" customHeight="1" x14ac:dyDescent="0.2">
      <c r="A28" s="124" t="s">
        <v>24</v>
      </c>
      <c r="B28" s="123"/>
      <c r="C28" s="121">
        <f>COUNTIF(C9:C23,"Leave")+COUNTIF(C9:C23,"VL")</f>
        <v>0</v>
      </c>
      <c r="D28" s="122"/>
      <c r="E28" s="122"/>
      <c r="F28" s="123"/>
      <c r="G28" s="121">
        <f>COUNTIF(G9:G23,"Leave")+COUNTIF(G9:G23,"VL")</f>
        <v>0</v>
      </c>
      <c r="H28" s="122"/>
      <c r="I28" s="122"/>
      <c r="J28" s="123"/>
      <c r="K28" s="121">
        <f>COUNTIF(K9:K23,"Leave")+COUNTIF(K9:K23,"VL")</f>
        <v>0</v>
      </c>
      <c r="L28" s="122"/>
      <c r="M28" s="122"/>
      <c r="N28" s="123"/>
      <c r="O28" s="121">
        <f>COUNTIF(O9:O23,"Leave")+COUNTIF(O9:O23,"VL")</f>
        <v>0</v>
      </c>
      <c r="P28" s="122"/>
      <c r="Q28" s="122"/>
      <c r="R28" s="123"/>
      <c r="S28" s="121">
        <f>COUNTIF(S9:S23,"Leave")+COUNTIF(S9:S23,"VL")</f>
        <v>0</v>
      </c>
      <c r="T28" s="122"/>
      <c r="U28" s="122"/>
      <c r="V28" s="123"/>
      <c r="W28" s="121">
        <f>COUNTIF(W9:W23,"Leave")+COUNTIF(W9:W23,"VL")</f>
        <v>0</v>
      </c>
      <c r="X28" s="122"/>
      <c r="Y28" s="122"/>
      <c r="Z28" s="123"/>
      <c r="AA28" s="121">
        <f>COUNTIF(AA9:AA23,"Leave")+COUNTIF(AA9:AA23,"VL")</f>
        <v>0</v>
      </c>
      <c r="AB28" s="122"/>
      <c r="AC28" s="122"/>
      <c r="AD28" s="123"/>
      <c r="AE28" s="121">
        <f>COUNTIF(AE9:AE23,"Leave")+COUNTIF(AE9:AE23,"VL")</f>
        <v>0</v>
      </c>
      <c r="AF28" s="122"/>
      <c r="AG28" s="122"/>
      <c r="AH28" s="123"/>
      <c r="AI28" s="121">
        <f>COUNTIF(AI9:AI24,"Leave")+COUNTIF(AI9:AI24,"VL")</f>
        <v>0</v>
      </c>
      <c r="AJ28" s="122"/>
      <c r="AK28" s="122"/>
      <c r="AL28" s="123"/>
      <c r="AM28" s="121">
        <f>COUNTIF(AM9:AM23,"Leave")+COUNTIF(AM9:AM23,"VL")</f>
        <v>0</v>
      </c>
      <c r="AN28" s="122"/>
      <c r="AO28" s="122"/>
      <c r="AP28" s="123"/>
      <c r="AQ28" s="121">
        <f>COUNTIF(AQ9:AQ23,"Leave")+COUNTIF(AQ9:AQ23,"VL")</f>
        <v>0</v>
      </c>
      <c r="AR28" s="122"/>
      <c r="AS28" s="122"/>
      <c r="AT28" s="123"/>
      <c r="AU28" s="121">
        <f>COUNTIF(AU9:AU23,"Leave")+COUNTIF(AU9:AU23,"VL")</f>
        <v>0</v>
      </c>
      <c r="AV28" s="122"/>
      <c r="AW28" s="122"/>
      <c r="AX28" s="123"/>
      <c r="AY28" s="121">
        <f>COUNTIF(AY9:AY23,"Leave")+COUNTIF(AY9:AY23,"VL")</f>
        <v>0</v>
      </c>
      <c r="AZ28" s="122"/>
      <c r="BA28" s="122"/>
      <c r="BB28" s="123"/>
      <c r="BC28" s="121">
        <f>COUNTIF(BC9:BC23,"Leave")+COUNTIF(BC9:BC23,"VL")</f>
        <v>0</v>
      </c>
      <c r="BD28" s="122"/>
      <c r="BE28" s="122"/>
      <c r="BF28" s="123"/>
      <c r="BG28" s="121">
        <f>COUNTIF(BG9:BG23,"Leave")+COUNTIF(BG9:BG23,"VL")</f>
        <v>0</v>
      </c>
      <c r="BH28" s="122"/>
      <c r="BI28" s="122"/>
      <c r="BJ28" s="123"/>
      <c r="BK28" s="121">
        <f>COUNTIF(BK9:BK23,"Leave")+COUNTIF(BK9:BK23,"VL")</f>
        <v>0</v>
      </c>
      <c r="BL28" s="122"/>
      <c r="BM28" s="122"/>
      <c r="BN28" s="123"/>
      <c r="BO28" s="121">
        <f>COUNTIF(BO9:BO23,"Leave")+COUNTIF(BO9:BO23,"VL")</f>
        <v>0</v>
      </c>
      <c r="BP28" s="122"/>
      <c r="BQ28" s="122"/>
      <c r="BR28" s="123"/>
      <c r="BS28" s="121">
        <f>COUNTIF(BS9:BS23,"Leave")+COUNTIF(BS9:BS23,"VL")</f>
        <v>0</v>
      </c>
      <c r="BT28" s="122"/>
      <c r="BU28" s="122"/>
      <c r="BV28" s="123"/>
      <c r="BW28" s="121">
        <f>COUNTIF(BW9:BW23,"Leave")+COUNTIF(BW9:BW23,"VL")</f>
        <v>0</v>
      </c>
      <c r="BX28" s="122"/>
      <c r="BY28" s="122"/>
      <c r="BZ28" s="123"/>
      <c r="CA28" s="121">
        <f>COUNTIF(CA9:CA23,"Leave")+COUNTIF(CA9:CA23,"VL")</f>
        <v>0</v>
      </c>
      <c r="CB28" s="122"/>
      <c r="CC28" s="122"/>
      <c r="CD28" s="123"/>
      <c r="CE28" s="121">
        <f>COUNTIF(CE9:CE23,"Leave")+COUNTIF(CE9:CE23,"VL")</f>
        <v>0</v>
      </c>
      <c r="CF28" s="122"/>
      <c r="CG28" s="122"/>
      <c r="CH28" s="123"/>
      <c r="CI28" s="121">
        <f>COUNTIF(CI9:CI23,"Leave")+COUNTIF(CI9:CI23,"VL")</f>
        <v>0</v>
      </c>
      <c r="CJ28" s="122"/>
      <c r="CK28" s="122"/>
      <c r="CL28" s="123"/>
      <c r="CM28" s="121">
        <f>COUNTIF(CM9:CM23,"Leave")+COUNTIF(CM9:CM23,"VL")</f>
        <v>0</v>
      </c>
      <c r="CN28" s="122"/>
      <c r="CO28" s="122"/>
      <c r="CP28" s="123"/>
      <c r="CQ28" s="121">
        <f>COUNTIF(CQ9:CQ23,"Leave")+COUNTIF(CQ9:CQ23,"VL")</f>
        <v>0</v>
      </c>
      <c r="CR28" s="122"/>
      <c r="CS28" s="122"/>
      <c r="CT28" s="123"/>
      <c r="CU28" s="121">
        <f>COUNTIF(CU9:CU23,"Leave")+COUNTIF(CU9:CU23,"VL")</f>
        <v>0</v>
      </c>
      <c r="CV28" s="122"/>
      <c r="CW28" s="122"/>
      <c r="CX28" s="123"/>
      <c r="CY28" s="121">
        <f>COUNTIF(CY9:CY23,"Leave")+COUNTIF(CY9:CY23,"VL")</f>
        <v>0</v>
      </c>
      <c r="CZ28" s="122"/>
      <c r="DA28" s="122"/>
      <c r="DB28" s="123"/>
      <c r="DC28" s="6"/>
    </row>
    <row r="29" spans="1:107" ht="15.75" customHeight="1" x14ac:dyDescent="0.2">
      <c r="A29" s="124" t="s">
        <v>26</v>
      </c>
      <c r="B29" s="123"/>
      <c r="C29" s="121">
        <f>COUNTIF(C9:C23,"SL")</f>
        <v>0</v>
      </c>
      <c r="D29" s="122"/>
      <c r="E29" s="122"/>
      <c r="F29" s="123"/>
      <c r="G29" s="121">
        <f>COUNTIF(G9:G23,"SL")</f>
        <v>0</v>
      </c>
      <c r="H29" s="122"/>
      <c r="I29" s="122"/>
      <c r="J29" s="123"/>
      <c r="K29" s="121">
        <f>COUNTIF(K9:K23,"SL")</f>
        <v>0</v>
      </c>
      <c r="L29" s="122"/>
      <c r="M29" s="122"/>
      <c r="N29" s="123"/>
      <c r="O29" s="121">
        <f>COUNTIF(O9:O23,"SL")</f>
        <v>0</v>
      </c>
      <c r="P29" s="122"/>
      <c r="Q29" s="122"/>
      <c r="R29" s="123"/>
      <c r="S29" s="121">
        <f>COUNTIF(S9:S23,"SL")</f>
        <v>0</v>
      </c>
      <c r="T29" s="122"/>
      <c r="U29" s="122"/>
      <c r="V29" s="123"/>
      <c r="W29" s="121">
        <f>COUNTIF(W9:W23,"SL")</f>
        <v>0</v>
      </c>
      <c r="X29" s="122"/>
      <c r="Y29" s="122"/>
      <c r="Z29" s="123"/>
      <c r="AA29" s="121">
        <f>COUNTIF(AA9:AA23,"SL")</f>
        <v>0</v>
      </c>
      <c r="AB29" s="122"/>
      <c r="AC29" s="122"/>
      <c r="AD29" s="123"/>
      <c r="AE29" s="121">
        <f>COUNTIF(AE9:AE23,"SL")</f>
        <v>0</v>
      </c>
      <c r="AF29" s="122"/>
      <c r="AG29" s="122"/>
      <c r="AH29" s="123"/>
      <c r="AI29" s="121">
        <f>COUNTIF(AI9:AI23,"SL")</f>
        <v>0</v>
      </c>
      <c r="AJ29" s="122"/>
      <c r="AK29" s="122"/>
      <c r="AL29" s="123"/>
      <c r="AM29" s="121">
        <f>COUNTIF(AM9:AM23,"SL")</f>
        <v>0</v>
      </c>
      <c r="AN29" s="122"/>
      <c r="AO29" s="122"/>
      <c r="AP29" s="123"/>
      <c r="AQ29" s="121">
        <f>COUNTIF(AQ9:AQ23,"SL")</f>
        <v>0</v>
      </c>
      <c r="AR29" s="122"/>
      <c r="AS29" s="122"/>
      <c r="AT29" s="123"/>
      <c r="AU29" s="121">
        <f>COUNTIF(AU9:AU23,"SL")</f>
        <v>0</v>
      </c>
      <c r="AV29" s="122"/>
      <c r="AW29" s="122"/>
      <c r="AX29" s="123"/>
      <c r="AY29" s="121">
        <f>COUNTIF(AY9:AY23,"SL")</f>
        <v>0</v>
      </c>
      <c r="AZ29" s="122"/>
      <c r="BA29" s="122"/>
      <c r="BB29" s="123"/>
      <c r="BC29" s="121">
        <f>COUNTIF(BC9:BC23,"SL")</f>
        <v>0</v>
      </c>
      <c r="BD29" s="122"/>
      <c r="BE29" s="122"/>
      <c r="BF29" s="123"/>
      <c r="BG29" s="121">
        <f>COUNTIF(BG9:BG23,"SL")</f>
        <v>0</v>
      </c>
      <c r="BH29" s="122"/>
      <c r="BI29" s="122"/>
      <c r="BJ29" s="123"/>
      <c r="BK29" s="121">
        <f>COUNTIF(BK9:BK23,"SL")</f>
        <v>0</v>
      </c>
      <c r="BL29" s="122"/>
      <c r="BM29" s="122"/>
      <c r="BN29" s="123"/>
      <c r="BO29" s="121">
        <f>COUNTIF(BO9:BO23,"SL")</f>
        <v>0</v>
      </c>
      <c r="BP29" s="122"/>
      <c r="BQ29" s="122"/>
      <c r="BR29" s="123"/>
      <c r="BS29" s="121">
        <f>COUNTIF(BS9:BS23,"SL")</f>
        <v>0</v>
      </c>
      <c r="BT29" s="122"/>
      <c r="BU29" s="122"/>
      <c r="BV29" s="123"/>
      <c r="BW29" s="121">
        <f>COUNTIF(BW9:BW23,"SL")</f>
        <v>0</v>
      </c>
      <c r="BX29" s="122"/>
      <c r="BY29" s="122"/>
      <c r="BZ29" s="123"/>
      <c r="CA29" s="121">
        <f>COUNTIF(CA9:CA23,"SL")</f>
        <v>0</v>
      </c>
      <c r="CB29" s="122"/>
      <c r="CC29" s="122"/>
      <c r="CD29" s="123"/>
      <c r="CE29" s="121">
        <f>COUNTIF(CE9:CE23,"SL")</f>
        <v>0</v>
      </c>
      <c r="CF29" s="122"/>
      <c r="CG29" s="122"/>
      <c r="CH29" s="123"/>
      <c r="CI29" s="121">
        <f>COUNTIF(CI9:CI23,"SL")</f>
        <v>0</v>
      </c>
      <c r="CJ29" s="122"/>
      <c r="CK29" s="122"/>
      <c r="CL29" s="123"/>
      <c r="CM29" s="121">
        <f>COUNTIF(CM9:CM23,"SL")</f>
        <v>0</v>
      </c>
      <c r="CN29" s="122"/>
      <c r="CO29" s="122"/>
      <c r="CP29" s="123"/>
      <c r="CQ29" s="121">
        <f>COUNTIF(CQ9:CQ23,"SL")</f>
        <v>0</v>
      </c>
      <c r="CR29" s="122"/>
      <c r="CS29" s="122"/>
      <c r="CT29" s="123"/>
      <c r="CU29" s="121">
        <f>COUNTIF(CU9:CU23,"SL")</f>
        <v>0</v>
      </c>
      <c r="CV29" s="122"/>
      <c r="CW29" s="122"/>
      <c r="CX29" s="123"/>
      <c r="CY29" s="121">
        <f>COUNTIF(CY9:CY23,"SL")</f>
        <v>0</v>
      </c>
      <c r="CZ29" s="122"/>
      <c r="DA29" s="122"/>
      <c r="DB29" s="123"/>
      <c r="DC29" s="6"/>
    </row>
    <row r="30" spans="1:107" ht="15.75" customHeight="1" x14ac:dyDescent="0.2">
      <c r="A30" s="124" t="s">
        <v>76</v>
      </c>
      <c r="B30" s="123"/>
      <c r="C30" s="121">
        <f>COUNTIF(C9:C23,"ML")</f>
        <v>0</v>
      </c>
      <c r="D30" s="122"/>
      <c r="E30" s="122"/>
      <c r="F30" s="123"/>
      <c r="G30" s="121">
        <f>COUNTIF(G9:G23,"ML")</f>
        <v>0</v>
      </c>
      <c r="H30" s="122"/>
      <c r="I30" s="122"/>
      <c r="J30" s="123"/>
      <c r="K30" s="121">
        <f>COUNTIF(K9:K23,"ML")</f>
        <v>0</v>
      </c>
      <c r="L30" s="122"/>
      <c r="M30" s="122"/>
      <c r="N30" s="123"/>
      <c r="O30" s="121">
        <f>COUNTIF(O9:O23,"ML")</f>
        <v>0</v>
      </c>
      <c r="P30" s="122"/>
      <c r="Q30" s="122"/>
      <c r="R30" s="123"/>
      <c r="S30" s="121">
        <f>COUNTIF(S9:S23,"ML")</f>
        <v>0</v>
      </c>
      <c r="T30" s="122"/>
      <c r="U30" s="122"/>
      <c r="V30" s="123"/>
      <c r="W30" s="121">
        <f>COUNTIF(W9:W23,"ML")</f>
        <v>0</v>
      </c>
      <c r="X30" s="122"/>
      <c r="Y30" s="122"/>
      <c r="Z30" s="123"/>
      <c r="AA30" s="121">
        <f>COUNTIF(AA9:AA23,"ML")</f>
        <v>0</v>
      </c>
      <c r="AB30" s="122"/>
      <c r="AC30" s="122"/>
      <c r="AD30" s="123"/>
      <c r="AE30" s="121">
        <f>COUNTIF(AE9:AE23,"ML")</f>
        <v>0</v>
      </c>
      <c r="AF30" s="122"/>
      <c r="AG30" s="122"/>
      <c r="AH30" s="123"/>
      <c r="AI30" s="121">
        <f>COUNTIF(AI9:AI23,"ML")</f>
        <v>0</v>
      </c>
      <c r="AJ30" s="122"/>
      <c r="AK30" s="122"/>
      <c r="AL30" s="123"/>
      <c r="AM30" s="121">
        <f>COUNTIF(AM9:AM23,"ML")</f>
        <v>0</v>
      </c>
      <c r="AN30" s="122"/>
      <c r="AO30" s="122"/>
      <c r="AP30" s="123"/>
      <c r="AQ30" s="121">
        <f>COUNTIF(AQ9:AQ23,"ML")</f>
        <v>0</v>
      </c>
      <c r="AR30" s="122"/>
      <c r="AS30" s="122"/>
      <c r="AT30" s="123"/>
      <c r="AU30" s="121">
        <f>COUNTIF(AU9:AU23,"ML")</f>
        <v>0</v>
      </c>
      <c r="AV30" s="122"/>
      <c r="AW30" s="122"/>
      <c r="AX30" s="123"/>
      <c r="AY30" s="121">
        <f>COUNTIF(AY9:AY23,"ML")</f>
        <v>0</v>
      </c>
      <c r="AZ30" s="122"/>
      <c r="BA30" s="122"/>
      <c r="BB30" s="123"/>
      <c r="BC30" s="121">
        <f>COUNTIF(BC9:BC23,"ML")</f>
        <v>0</v>
      </c>
      <c r="BD30" s="122"/>
      <c r="BE30" s="122"/>
      <c r="BF30" s="123"/>
      <c r="BG30" s="121">
        <f>COUNTIF(BG9:BG23,"ML")</f>
        <v>0</v>
      </c>
      <c r="BH30" s="122"/>
      <c r="BI30" s="122"/>
      <c r="BJ30" s="123"/>
      <c r="BK30" s="121">
        <f>COUNTIF(BK9:BK23,"ML")</f>
        <v>0</v>
      </c>
      <c r="BL30" s="122"/>
      <c r="BM30" s="122"/>
      <c r="BN30" s="123"/>
      <c r="BO30" s="121">
        <f>COUNTIF(BO9:BO23,"ML")</f>
        <v>0</v>
      </c>
      <c r="BP30" s="122"/>
      <c r="BQ30" s="122"/>
      <c r="BR30" s="123"/>
      <c r="BS30" s="121">
        <f>COUNTIF(BS9:BS23,"ML")</f>
        <v>0</v>
      </c>
      <c r="BT30" s="122"/>
      <c r="BU30" s="122"/>
      <c r="BV30" s="123"/>
      <c r="BW30" s="121">
        <f>COUNTIF(BW9:BW23,"ML")</f>
        <v>0</v>
      </c>
      <c r="BX30" s="122"/>
      <c r="BY30" s="122"/>
      <c r="BZ30" s="123"/>
      <c r="CA30" s="121">
        <f>COUNTIF(CA9:CA23,"ML")</f>
        <v>0</v>
      </c>
      <c r="CB30" s="122"/>
      <c r="CC30" s="122"/>
      <c r="CD30" s="123"/>
      <c r="CE30" s="121">
        <f>COUNTIF(CE9:CE23,"ML")</f>
        <v>0</v>
      </c>
      <c r="CF30" s="122"/>
      <c r="CG30" s="122"/>
      <c r="CH30" s="123"/>
      <c r="CI30" s="121">
        <f>COUNTIF(CI9:CI23,"ML")</f>
        <v>0</v>
      </c>
      <c r="CJ30" s="122"/>
      <c r="CK30" s="122"/>
      <c r="CL30" s="123"/>
      <c r="CM30" s="121">
        <f>COUNTIF(CM9:CM23,"ML")</f>
        <v>0</v>
      </c>
      <c r="CN30" s="122"/>
      <c r="CO30" s="122"/>
      <c r="CP30" s="123"/>
      <c r="CQ30" s="121">
        <f>COUNTIF(CQ9:CQ23,"ML")</f>
        <v>0</v>
      </c>
      <c r="CR30" s="122"/>
      <c r="CS30" s="122"/>
      <c r="CT30" s="123"/>
      <c r="CU30" s="121">
        <f>COUNTIF(CU9:CU23,"ML")</f>
        <v>0</v>
      </c>
      <c r="CV30" s="122"/>
      <c r="CW30" s="122"/>
      <c r="CX30" s="123"/>
      <c r="CY30" s="121">
        <f>COUNTIF(CY9:CY23,"ML")</f>
        <v>0</v>
      </c>
      <c r="CZ30" s="122"/>
      <c r="DA30" s="122"/>
      <c r="DB30" s="123"/>
      <c r="DC30" s="6"/>
    </row>
    <row r="31" spans="1:107" ht="15.75" customHeight="1" x14ac:dyDescent="0.25">
      <c r="A31" s="2"/>
      <c r="B31" s="2"/>
      <c r="C31" s="69"/>
      <c r="D31" s="69"/>
      <c r="E31" s="69"/>
      <c r="F31" s="69"/>
      <c r="G31" s="24"/>
      <c r="H31" s="24"/>
      <c r="I31" s="24"/>
      <c r="J31" s="24"/>
      <c r="K31" s="24"/>
      <c r="L31" s="74"/>
      <c r="M31" s="74"/>
      <c r="N31" s="74"/>
      <c r="O31" s="7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6"/>
      <c r="CV31" s="6"/>
      <c r="CW31" s="6"/>
      <c r="CX31" s="6"/>
      <c r="CY31" s="6"/>
      <c r="CZ31" s="6"/>
      <c r="DA31" s="6"/>
      <c r="DB31" s="6"/>
      <c r="DC31" s="6"/>
    </row>
    <row r="32" spans="1:107" ht="15.75" customHeight="1" x14ac:dyDescent="0.25">
      <c r="A32" s="2"/>
      <c r="B32" s="2"/>
      <c r="C32" s="69"/>
      <c r="D32" s="69"/>
      <c r="E32" s="69"/>
      <c r="F32" s="69"/>
      <c r="G32" s="24"/>
      <c r="H32" s="24"/>
      <c r="I32" s="24"/>
      <c r="J32" s="24"/>
      <c r="K32" s="69"/>
      <c r="L32" s="74"/>
      <c r="M32" s="74"/>
      <c r="N32" s="74"/>
      <c r="O32" s="74"/>
      <c r="P32" s="69"/>
      <c r="Q32" s="69"/>
      <c r="R32" s="69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6"/>
      <c r="CV32" s="6"/>
      <c r="CW32" s="6"/>
      <c r="CX32" s="6"/>
      <c r="CY32" s="6"/>
      <c r="CZ32" s="6"/>
      <c r="DA32" s="6"/>
      <c r="DB32" s="6"/>
      <c r="DC32" s="6"/>
    </row>
    <row r="33" spans="1:107" ht="15.75" customHeight="1" x14ac:dyDescent="0.25">
      <c r="A33" s="2"/>
      <c r="B33" s="2"/>
      <c r="C33" s="69"/>
      <c r="D33" s="69"/>
      <c r="E33" s="69"/>
      <c r="F33" s="69"/>
      <c r="G33" s="24"/>
      <c r="H33" s="24"/>
      <c r="I33" s="24"/>
      <c r="J33" s="24"/>
      <c r="K33" s="69"/>
      <c r="L33" s="74"/>
      <c r="M33" s="74"/>
      <c r="N33" s="74"/>
      <c r="O33" s="74"/>
      <c r="P33" s="69"/>
      <c r="Q33" s="69"/>
      <c r="R33" s="69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6"/>
      <c r="CV33" s="6"/>
      <c r="CW33" s="6"/>
      <c r="CX33" s="6"/>
      <c r="CY33" s="6"/>
      <c r="CZ33" s="6"/>
      <c r="DA33" s="6"/>
      <c r="DB33" s="6"/>
      <c r="DC33" s="6"/>
    </row>
    <row r="34" spans="1:107" ht="15.75" customHeight="1" x14ac:dyDescent="0.25">
      <c r="A34" s="2"/>
      <c r="B34" s="2"/>
      <c r="C34" s="69"/>
      <c r="D34" s="69"/>
      <c r="E34" s="69"/>
      <c r="F34" s="69"/>
      <c r="G34" s="24"/>
      <c r="H34" s="24"/>
      <c r="I34" s="24"/>
      <c r="J34" s="24"/>
      <c r="K34" s="69"/>
      <c r="L34" s="69"/>
      <c r="M34" s="69"/>
      <c r="N34" s="69"/>
      <c r="O34" s="24"/>
      <c r="P34" s="69"/>
      <c r="Q34" s="69"/>
      <c r="R34" s="69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6"/>
      <c r="CV34" s="6"/>
      <c r="CW34" s="6"/>
      <c r="CX34" s="6"/>
      <c r="CY34" s="6"/>
      <c r="CZ34" s="6"/>
      <c r="DA34" s="6"/>
      <c r="DB34" s="6"/>
      <c r="DC34" s="6"/>
    </row>
    <row r="35" spans="1:107" ht="15.75" customHeight="1" x14ac:dyDescent="0.25">
      <c r="A35" s="2"/>
      <c r="B35" s="2"/>
      <c r="C35" s="69"/>
      <c r="D35" s="69"/>
      <c r="E35" s="69"/>
      <c r="F35" s="69"/>
      <c r="G35" s="24"/>
      <c r="H35" s="24"/>
      <c r="I35" s="24"/>
      <c r="J35" s="24"/>
      <c r="K35" s="69"/>
      <c r="L35" s="69"/>
      <c r="M35" s="69"/>
      <c r="N35" s="69"/>
      <c r="O35" s="24"/>
      <c r="P35" s="69"/>
      <c r="Q35" s="69"/>
      <c r="R35" s="69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6"/>
      <c r="CV35" s="6"/>
      <c r="CW35" s="6"/>
      <c r="CX35" s="6"/>
      <c r="CY35" s="6"/>
      <c r="CZ35" s="6"/>
      <c r="DA35" s="6"/>
      <c r="DB35" s="6"/>
      <c r="DC35" s="6"/>
    </row>
    <row r="36" spans="1:107" ht="15.75" customHeight="1" x14ac:dyDescent="0.25">
      <c r="A36" s="2"/>
      <c r="B36" s="2"/>
      <c r="C36" s="18"/>
      <c r="D36" s="42"/>
      <c r="E36" s="42"/>
      <c r="F36" s="42"/>
      <c r="G36" s="24"/>
      <c r="H36" s="24"/>
      <c r="I36" s="24"/>
      <c r="J36" s="24"/>
      <c r="K36" s="69"/>
      <c r="L36" s="69"/>
      <c r="M36" s="69"/>
      <c r="N36" s="69"/>
      <c r="O36" s="24"/>
      <c r="P36" s="69"/>
      <c r="Q36" s="69"/>
      <c r="R36" s="69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6"/>
      <c r="CV36" s="6"/>
      <c r="CW36" s="6"/>
      <c r="CX36" s="6"/>
      <c r="CY36" s="6"/>
      <c r="CZ36" s="6"/>
      <c r="DA36" s="6"/>
      <c r="DB36" s="6"/>
      <c r="DC36" s="6"/>
    </row>
    <row r="37" spans="1:107" ht="15.75" customHeight="1" x14ac:dyDescent="0.25">
      <c r="A37" s="2"/>
      <c r="B37" s="2"/>
      <c r="C37" s="69"/>
      <c r="D37" s="69"/>
      <c r="E37" s="69"/>
      <c r="F37" s="69"/>
      <c r="G37" s="24"/>
      <c r="H37" s="24"/>
      <c r="I37" s="24"/>
      <c r="J37" s="24"/>
      <c r="K37" s="18"/>
      <c r="L37" s="42"/>
      <c r="M37" s="42"/>
      <c r="N37" s="42"/>
      <c r="O37" s="24"/>
      <c r="P37" s="18"/>
      <c r="Q37" s="18"/>
      <c r="R37" s="18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6"/>
      <c r="CV37" s="6"/>
      <c r="CW37" s="6"/>
      <c r="CX37" s="6"/>
      <c r="CY37" s="6"/>
      <c r="CZ37" s="6"/>
      <c r="DA37" s="6"/>
      <c r="DB37" s="6"/>
      <c r="DC37" s="6"/>
    </row>
    <row r="38" spans="1:107" ht="15.75" customHeight="1" x14ac:dyDescent="0.25">
      <c r="A38" s="2"/>
      <c r="B38" s="2"/>
      <c r="C38" s="69"/>
      <c r="D38" s="69"/>
      <c r="E38" s="69"/>
      <c r="F38" s="69"/>
      <c r="G38" s="24"/>
      <c r="H38" s="24"/>
      <c r="I38" s="24"/>
      <c r="J38" s="24"/>
      <c r="K38" s="69"/>
      <c r="L38" s="69"/>
      <c r="M38" s="69"/>
      <c r="N38" s="69"/>
      <c r="O38" s="24"/>
      <c r="P38" s="69"/>
      <c r="Q38" s="69"/>
      <c r="R38" s="69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6"/>
      <c r="CV38" s="6"/>
      <c r="CW38" s="6"/>
      <c r="CX38" s="6"/>
      <c r="CY38" s="6"/>
      <c r="CZ38" s="6"/>
      <c r="DA38" s="6"/>
      <c r="DB38" s="6"/>
      <c r="DC38" s="6"/>
    </row>
    <row r="39" spans="1:107" ht="15.75" customHeight="1" x14ac:dyDescent="0.25">
      <c r="A39" s="2"/>
      <c r="B39" s="2"/>
      <c r="C39" s="69"/>
      <c r="D39" s="69"/>
      <c r="E39" s="69"/>
      <c r="F39" s="69"/>
      <c r="G39" s="24"/>
      <c r="H39" s="24"/>
      <c r="I39" s="24"/>
      <c r="J39" s="24"/>
      <c r="K39" s="69"/>
      <c r="L39" s="69"/>
      <c r="M39" s="69"/>
      <c r="N39" s="69"/>
      <c r="O39" s="24"/>
      <c r="P39" s="69"/>
      <c r="Q39" s="69"/>
      <c r="R39" s="69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6"/>
      <c r="CV39" s="6"/>
      <c r="CW39" s="6"/>
      <c r="CX39" s="6"/>
      <c r="CY39" s="6"/>
      <c r="CZ39" s="6"/>
      <c r="DA39" s="6"/>
      <c r="DB39" s="6"/>
      <c r="DC39" s="6"/>
    </row>
    <row r="40" spans="1:107" ht="15.75" customHeight="1" x14ac:dyDescent="0.25">
      <c r="A40" s="2"/>
      <c r="B40" s="2"/>
      <c r="C40" s="69"/>
      <c r="D40" s="69"/>
      <c r="E40" s="69"/>
      <c r="F40" s="69"/>
      <c r="G40" s="24"/>
      <c r="H40" s="24"/>
      <c r="I40" s="24"/>
      <c r="J40" s="24"/>
      <c r="K40" s="69"/>
      <c r="L40" s="69"/>
      <c r="M40" s="69"/>
      <c r="N40" s="69"/>
      <c r="O40" s="24"/>
      <c r="P40" s="69"/>
      <c r="Q40" s="69"/>
      <c r="R40" s="69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6"/>
      <c r="CV40" s="6"/>
      <c r="CW40" s="6"/>
      <c r="CX40" s="6"/>
      <c r="CY40" s="6"/>
      <c r="CZ40" s="6"/>
      <c r="DA40" s="6"/>
      <c r="DB40" s="6"/>
      <c r="DC40" s="6"/>
    </row>
    <row r="41" spans="1:107" ht="15.75" customHeight="1" x14ac:dyDescent="0.25">
      <c r="A41" s="2"/>
      <c r="B41" s="2"/>
      <c r="C41" s="69"/>
      <c r="D41" s="69"/>
      <c r="E41" s="69"/>
      <c r="F41" s="69"/>
      <c r="G41" s="24"/>
      <c r="H41" s="24"/>
      <c r="I41" s="24"/>
      <c r="J41" s="24"/>
      <c r="K41" s="69"/>
      <c r="L41" s="69"/>
      <c r="M41" s="69"/>
      <c r="N41" s="69"/>
      <c r="O41" s="24"/>
      <c r="P41" s="69"/>
      <c r="Q41" s="69"/>
      <c r="R41" s="69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6"/>
      <c r="CV41" s="6"/>
      <c r="CW41" s="6"/>
      <c r="CX41" s="6"/>
      <c r="CY41" s="6"/>
      <c r="CZ41" s="6"/>
      <c r="DA41" s="6"/>
      <c r="DB41" s="6"/>
      <c r="DC41" s="6"/>
    </row>
    <row r="42" spans="1:107" ht="15.75" customHeight="1" x14ac:dyDescent="0.25">
      <c r="A42" s="2"/>
      <c r="B42" s="2"/>
      <c r="C42" s="69"/>
      <c r="D42" s="69"/>
      <c r="E42" s="69"/>
      <c r="F42" s="69"/>
      <c r="G42" s="24"/>
      <c r="H42" s="24"/>
      <c r="I42" s="24"/>
      <c r="J42" s="24"/>
      <c r="K42" s="69"/>
      <c r="L42" s="69"/>
      <c r="M42" s="69"/>
      <c r="N42" s="69"/>
      <c r="O42" s="24"/>
      <c r="P42" s="69"/>
      <c r="Q42" s="69"/>
      <c r="R42" s="69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6"/>
      <c r="CV42" s="6"/>
      <c r="CW42" s="6"/>
      <c r="CX42" s="6"/>
      <c r="CY42" s="6"/>
      <c r="CZ42" s="6"/>
      <c r="DA42" s="6"/>
      <c r="DB42" s="6"/>
      <c r="DC42" s="6"/>
    </row>
    <row r="43" spans="1:107" ht="15.75" customHeight="1" x14ac:dyDescent="0.25">
      <c r="A43" s="2"/>
      <c r="B43" s="2"/>
      <c r="C43" s="18"/>
      <c r="D43" s="42"/>
      <c r="E43" s="42"/>
      <c r="F43" s="42"/>
      <c r="G43" s="24"/>
      <c r="H43" s="24"/>
      <c r="I43" s="24"/>
      <c r="J43" s="24"/>
      <c r="K43" s="69"/>
      <c r="L43" s="69"/>
      <c r="M43" s="69"/>
      <c r="N43" s="69"/>
      <c r="O43" s="24"/>
      <c r="P43" s="69"/>
      <c r="Q43" s="69"/>
      <c r="R43" s="69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6"/>
      <c r="CV43" s="6"/>
      <c r="CW43" s="6"/>
      <c r="CX43" s="6"/>
      <c r="CY43" s="6"/>
      <c r="CZ43" s="6"/>
      <c r="DA43" s="6"/>
      <c r="DB43" s="6"/>
      <c r="DC43" s="6"/>
    </row>
    <row r="44" spans="1:107" ht="15.75" customHeight="1" x14ac:dyDescent="0.25">
      <c r="A44" s="2"/>
      <c r="B44" s="2"/>
      <c r="C44" s="69"/>
      <c r="D44" s="69"/>
      <c r="E44" s="69"/>
      <c r="F44" s="69"/>
      <c r="G44" s="24"/>
      <c r="H44" s="24"/>
      <c r="I44" s="24"/>
      <c r="J44" s="24"/>
      <c r="K44" s="18"/>
      <c r="L44" s="42"/>
      <c r="M44" s="42"/>
      <c r="N44" s="42"/>
      <c r="O44" s="24"/>
      <c r="P44" s="18"/>
      <c r="Q44" s="18"/>
      <c r="R44" s="18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6"/>
      <c r="CV44" s="6"/>
      <c r="CW44" s="6"/>
      <c r="CX44" s="6"/>
      <c r="CY44" s="6"/>
      <c r="CZ44" s="6"/>
      <c r="DA44" s="6"/>
      <c r="DB44" s="6"/>
      <c r="DC44" s="6"/>
    </row>
    <row r="45" spans="1:107" ht="15.75" customHeight="1" x14ac:dyDescent="0.25">
      <c r="A45" s="2"/>
      <c r="B45" s="2"/>
      <c r="C45" s="69"/>
      <c r="D45" s="69"/>
      <c r="E45" s="69"/>
      <c r="F45" s="69"/>
      <c r="G45" s="24"/>
      <c r="H45" s="24"/>
      <c r="I45" s="24"/>
      <c r="J45" s="24"/>
      <c r="K45" s="69"/>
      <c r="L45" s="69"/>
      <c r="M45" s="69"/>
      <c r="N45" s="69"/>
      <c r="O45" s="24"/>
      <c r="P45" s="69"/>
      <c r="Q45" s="69"/>
      <c r="R45" s="69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6"/>
      <c r="CV45" s="6"/>
      <c r="CW45" s="6"/>
      <c r="CX45" s="6"/>
      <c r="CY45" s="6"/>
      <c r="CZ45" s="6"/>
      <c r="DA45" s="6"/>
      <c r="DB45" s="6"/>
      <c r="DC45" s="6"/>
    </row>
    <row r="46" spans="1:107" ht="15.75" customHeight="1" x14ac:dyDescent="0.25">
      <c r="A46" s="2"/>
      <c r="B46" s="2"/>
      <c r="C46" s="24"/>
      <c r="D46" s="24"/>
      <c r="E46" s="24"/>
      <c r="F46" s="24"/>
      <c r="G46" s="24"/>
      <c r="H46" s="24"/>
      <c r="I46" s="24"/>
      <c r="J46" s="24"/>
      <c r="K46" s="69"/>
      <c r="L46" s="69"/>
      <c r="M46" s="69"/>
      <c r="N46" s="69"/>
      <c r="O46" s="24"/>
      <c r="P46" s="69"/>
      <c r="Q46" s="69"/>
      <c r="R46" s="69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6"/>
      <c r="CV46" s="6"/>
      <c r="CW46" s="6"/>
      <c r="CX46" s="6"/>
      <c r="CY46" s="6"/>
      <c r="CZ46" s="6"/>
      <c r="DA46" s="6"/>
      <c r="DB46" s="6"/>
      <c r="DC46" s="6"/>
    </row>
    <row r="47" spans="1:107" ht="15.75" customHeight="1" x14ac:dyDescent="0.25">
      <c r="A47" s="2"/>
      <c r="B47" s="2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6"/>
      <c r="CV47" s="6"/>
      <c r="CW47" s="6"/>
      <c r="CX47" s="6"/>
      <c r="CY47" s="6"/>
      <c r="CZ47" s="6"/>
      <c r="DA47" s="6"/>
      <c r="DB47" s="6"/>
      <c r="DC47" s="6"/>
    </row>
    <row r="48" spans="1:107" ht="15.75" customHeight="1" x14ac:dyDescent="0.25">
      <c r="A48" s="2"/>
      <c r="B48" s="2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6"/>
      <c r="CV48" s="6"/>
      <c r="CW48" s="6"/>
      <c r="CX48" s="6"/>
      <c r="CY48" s="6"/>
      <c r="CZ48" s="6"/>
      <c r="DA48" s="6"/>
      <c r="DB48" s="6"/>
      <c r="DC48" s="6"/>
    </row>
    <row r="49" spans="1:107" ht="15.75" customHeight="1" x14ac:dyDescent="0.25">
      <c r="A49" s="2"/>
      <c r="B49" s="2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6"/>
      <c r="CV49" s="6"/>
      <c r="CW49" s="6"/>
      <c r="CX49" s="6"/>
      <c r="CY49" s="6"/>
      <c r="CZ49" s="6"/>
      <c r="DA49" s="6"/>
      <c r="DB49" s="6"/>
      <c r="DC49" s="6"/>
    </row>
    <row r="50" spans="1:107" ht="15.75" customHeight="1" x14ac:dyDescent="0.25">
      <c r="A50" s="2"/>
      <c r="B50" s="2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6"/>
      <c r="CV50" s="6"/>
      <c r="CW50" s="6"/>
      <c r="CX50" s="6"/>
      <c r="CY50" s="6"/>
      <c r="CZ50" s="6"/>
      <c r="DA50" s="6"/>
      <c r="DB50" s="6"/>
      <c r="DC50" s="6"/>
    </row>
    <row r="51" spans="1:107" ht="15.75" customHeight="1" x14ac:dyDescent="0.25">
      <c r="A51" s="2"/>
      <c r="B51" s="2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6"/>
      <c r="CV51" s="6"/>
      <c r="CW51" s="6"/>
      <c r="CX51" s="6"/>
      <c r="CY51" s="6"/>
      <c r="CZ51" s="6"/>
      <c r="DA51" s="6"/>
      <c r="DB51" s="6"/>
      <c r="DC51" s="6"/>
    </row>
    <row r="52" spans="1:107" ht="15.75" customHeight="1" x14ac:dyDescent="0.25">
      <c r="A52" s="2"/>
      <c r="B52" s="2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6"/>
      <c r="CV52" s="6"/>
      <c r="CW52" s="6"/>
      <c r="CX52" s="6"/>
      <c r="CY52" s="6"/>
      <c r="CZ52" s="6"/>
      <c r="DA52" s="6"/>
      <c r="DB52" s="6"/>
      <c r="DC52" s="6"/>
    </row>
    <row r="53" spans="1:107" ht="15.75" customHeight="1" x14ac:dyDescent="0.25">
      <c r="A53" s="2"/>
      <c r="B53" s="2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6"/>
      <c r="CV53" s="6"/>
      <c r="CW53" s="6"/>
      <c r="CX53" s="6"/>
      <c r="CY53" s="6"/>
      <c r="CZ53" s="6"/>
      <c r="DA53" s="6"/>
      <c r="DB53" s="6"/>
      <c r="DC53" s="6"/>
    </row>
    <row r="54" spans="1:107" ht="15.75" customHeight="1" x14ac:dyDescent="0.25">
      <c r="A54" s="2"/>
      <c r="B54" s="2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6"/>
      <c r="CV54" s="6"/>
      <c r="CW54" s="6"/>
      <c r="CX54" s="6"/>
      <c r="CY54" s="6"/>
      <c r="CZ54" s="6"/>
      <c r="DA54" s="6"/>
      <c r="DB54" s="6"/>
      <c r="DC54" s="6"/>
    </row>
    <row r="55" spans="1:107" ht="15.75" customHeight="1" x14ac:dyDescent="0.25">
      <c r="A55" s="2"/>
      <c r="B55" s="2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6"/>
      <c r="CV55" s="6"/>
      <c r="CW55" s="6"/>
      <c r="CX55" s="6"/>
      <c r="CY55" s="6"/>
      <c r="CZ55" s="6"/>
      <c r="DA55" s="6"/>
      <c r="DB55" s="6"/>
      <c r="DC55" s="6"/>
    </row>
    <row r="56" spans="1:107" ht="15.75" customHeight="1" x14ac:dyDescent="0.25">
      <c r="A56" s="2"/>
      <c r="B56" s="2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6"/>
      <c r="CV56" s="6"/>
      <c r="CW56" s="6"/>
      <c r="CX56" s="6"/>
      <c r="CY56" s="6"/>
      <c r="CZ56" s="6"/>
      <c r="DA56" s="6"/>
      <c r="DB56" s="6"/>
      <c r="DC56" s="6"/>
    </row>
    <row r="57" spans="1:107" ht="15.75" customHeight="1" x14ac:dyDescent="0.25">
      <c r="A57" s="2"/>
      <c r="B57" s="2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6"/>
      <c r="CV57" s="6"/>
      <c r="CW57" s="6"/>
      <c r="CX57" s="6"/>
      <c r="CY57" s="6"/>
      <c r="CZ57" s="6"/>
      <c r="DA57" s="6"/>
      <c r="DB57" s="6"/>
      <c r="DC57" s="6"/>
    </row>
    <row r="58" spans="1:107" ht="15.75" customHeight="1" x14ac:dyDescent="0.25">
      <c r="A58" s="2"/>
      <c r="B58" s="2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6"/>
      <c r="CV58" s="6"/>
      <c r="CW58" s="6"/>
      <c r="CX58" s="6"/>
      <c r="CY58" s="6"/>
      <c r="CZ58" s="6"/>
      <c r="DA58" s="6"/>
      <c r="DB58" s="6"/>
      <c r="DC58" s="6"/>
    </row>
    <row r="59" spans="1:107" ht="15.75" customHeight="1" x14ac:dyDescent="0.25">
      <c r="A59" s="2"/>
      <c r="B59" s="2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6"/>
      <c r="CV59" s="6"/>
      <c r="CW59" s="6"/>
      <c r="CX59" s="6"/>
      <c r="CY59" s="6"/>
      <c r="CZ59" s="6"/>
      <c r="DA59" s="6"/>
      <c r="DB59" s="6"/>
      <c r="DC59" s="6"/>
    </row>
    <row r="60" spans="1:107" ht="15.75" customHeight="1" x14ac:dyDescent="0.25">
      <c r="A60" s="2"/>
      <c r="B60" s="2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6"/>
      <c r="CV60" s="6"/>
      <c r="CW60" s="6"/>
      <c r="CX60" s="6"/>
      <c r="CY60" s="6"/>
      <c r="CZ60" s="6"/>
      <c r="DA60" s="6"/>
      <c r="DB60" s="6"/>
      <c r="DC60" s="6"/>
    </row>
    <row r="61" spans="1:107" ht="15.75" customHeight="1" x14ac:dyDescent="0.25">
      <c r="A61" s="2"/>
      <c r="B61" s="2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6"/>
      <c r="CV61" s="6"/>
      <c r="CW61" s="6"/>
      <c r="CX61" s="6"/>
      <c r="CY61" s="6"/>
      <c r="CZ61" s="6"/>
      <c r="DA61" s="6"/>
      <c r="DB61" s="6"/>
      <c r="DC61" s="6"/>
    </row>
    <row r="62" spans="1:107" ht="15.75" customHeight="1" x14ac:dyDescent="0.25">
      <c r="A62" s="2"/>
      <c r="B62" s="2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6"/>
      <c r="CV62" s="6"/>
      <c r="CW62" s="6"/>
      <c r="CX62" s="6"/>
      <c r="CY62" s="6"/>
      <c r="CZ62" s="6"/>
      <c r="DA62" s="6"/>
      <c r="DB62" s="6"/>
      <c r="DC62" s="6"/>
    </row>
    <row r="63" spans="1:107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6"/>
      <c r="CV63" s="6"/>
      <c r="CW63" s="6"/>
      <c r="CX63" s="6"/>
      <c r="CY63" s="6"/>
      <c r="CZ63" s="6"/>
      <c r="DA63" s="6"/>
      <c r="DB63" s="6"/>
      <c r="DC63" s="6"/>
    </row>
    <row r="64" spans="1:107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6"/>
      <c r="CV64" s="6"/>
      <c r="CW64" s="6"/>
      <c r="CX64" s="6"/>
      <c r="CY64" s="6"/>
      <c r="CZ64" s="6"/>
      <c r="DA64" s="6"/>
      <c r="DB64" s="6"/>
      <c r="DC64" s="6"/>
    </row>
    <row r="65" spans="1:107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6"/>
      <c r="CV65" s="6"/>
      <c r="CW65" s="6"/>
      <c r="CX65" s="6"/>
      <c r="CY65" s="6"/>
      <c r="CZ65" s="6"/>
      <c r="DA65" s="6"/>
      <c r="DB65" s="6"/>
      <c r="DC65" s="6"/>
    </row>
    <row r="66" spans="1:107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6"/>
      <c r="CV66" s="6"/>
      <c r="CW66" s="6"/>
      <c r="CX66" s="6"/>
      <c r="CY66" s="6"/>
      <c r="CZ66" s="6"/>
      <c r="DA66" s="6"/>
      <c r="DB66" s="6"/>
      <c r="DC66" s="6"/>
    </row>
    <row r="67" spans="1:107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6"/>
      <c r="CV67" s="6"/>
      <c r="CW67" s="6"/>
      <c r="CX67" s="6"/>
      <c r="CY67" s="6"/>
      <c r="CZ67" s="6"/>
      <c r="DA67" s="6"/>
      <c r="DB67" s="6"/>
      <c r="DC67" s="6"/>
    </row>
    <row r="68" spans="1:107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6"/>
      <c r="CV68" s="6"/>
      <c r="CW68" s="6"/>
      <c r="CX68" s="6"/>
      <c r="CY68" s="6"/>
      <c r="CZ68" s="6"/>
      <c r="DA68" s="6"/>
      <c r="DB68" s="6"/>
      <c r="DC68" s="6"/>
    </row>
    <row r="69" spans="1:107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6"/>
      <c r="CV69" s="6"/>
      <c r="CW69" s="6"/>
      <c r="CX69" s="6"/>
      <c r="CY69" s="6"/>
      <c r="CZ69" s="6"/>
      <c r="DA69" s="6"/>
      <c r="DB69" s="6"/>
      <c r="DC69" s="6"/>
    </row>
    <row r="70" spans="1:107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6"/>
      <c r="CV70" s="6"/>
      <c r="CW70" s="6"/>
      <c r="CX70" s="6"/>
      <c r="CY70" s="6"/>
      <c r="CZ70" s="6"/>
      <c r="DA70" s="6"/>
      <c r="DB70" s="6"/>
      <c r="DC70" s="6"/>
    </row>
    <row r="71" spans="1:107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6"/>
      <c r="CV71" s="6"/>
      <c r="CW71" s="6"/>
      <c r="CX71" s="6"/>
      <c r="CY71" s="6"/>
      <c r="CZ71" s="6"/>
      <c r="DA71" s="6"/>
      <c r="DB71" s="6"/>
      <c r="DC71" s="6"/>
    </row>
    <row r="72" spans="1:107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6"/>
      <c r="CV72" s="6"/>
      <c r="CW72" s="6"/>
      <c r="CX72" s="6"/>
      <c r="CY72" s="6"/>
      <c r="CZ72" s="6"/>
      <c r="DA72" s="6"/>
      <c r="DB72" s="6"/>
      <c r="DC72" s="6"/>
    </row>
    <row r="73" spans="1:107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6"/>
      <c r="CV73" s="6"/>
      <c r="CW73" s="6"/>
      <c r="CX73" s="6"/>
      <c r="CY73" s="6"/>
      <c r="CZ73" s="6"/>
      <c r="DA73" s="6"/>
      <c r="DB73" s="6"/>
      <c r="DC73" s="6"/>
    </row>
    <row r="74" spans="1:107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6"/>
      <c r="CV74" s="6"/>
      <c r="CW74" s="6"/>
      <c r="CX74" s="6"/>
      <c r="CY74" s="6"/>
      <c r="CZ74" s="6"/>
      <c r="DA74" s="6"/>
      <c r="DB74" s="6"/>
      <c r="DC74" s="6"/>
    </row>
    <row r="75" spans="1:107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6"/>
      <c r="CV75" s="6"/>
      <c r="CW75" s="6"/>
      <c r="CX75" s="6"/>
      <c r="CY75" s="6"/>
      <c r="CZ75" s="6"/>
      <c r="DA75" s="6"/>
      <c r="DB75" s="6"/>
      <c r="DC75" s="6"/>
    </row>
    <row r="76" spans="1:107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6"/>
      <c r="CV76" s="6"/>
      <c r="CW76" s="6"/>
      <c r="CX76" s="6"/>
      <c r="CY76" s="6"/>
      <c r="CZ76" s="6"/>
      <c r="DA76" s="6"/>
      <c r="DB76" s="6"/>
      <c r="DC76" s="6"/>
    </row>
    <row r="77" spans="1:107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6"/>
      <c r="CV77" s="6"/>
      <c r="CW77" s="6"/>
      <c r="CX77" s="6"/>
      <c r="CY77" s="6"/>
      <c r="CZ77" s="6"/>
      <c r="DA77" s="6"/>
      <c r="DB77" s="6"/>
      <c r="DC77" s="6"/>
    </row>
    <row r="78" spans="1:107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6"/>
      <c r="CV78" s="6"/>
      <c r="CW78" s="6"/>
      <c r="CX78" s="6"/>
      <c r="CY78" s="6"/>
      <c r="CZ78" s="6"/>
      <c r="DA78" s="6"/>
      <c r="DB78" s="6"/>
      <c r="DC78" s="6"/>
    </row>
    <row r="79" spans="1:107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6"/>
      <c r="CV79" s="6"/>
      <c r="CW79" s="6"/>
      <c r="CX79" s="6"/>
      <c r="CY79" s="6"/>
      <c r="CZ79" s="6"/>
      <c r="DA79" s="6"/>
      <c r="DB79" s="6"/>
      <c r="DC79" s="6"/>
    </row>
    <row r="80" spans="1:107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6"/>
      <c r="CV80" s="6"/>
      <c r="CW80" s="6"/>
      <c r="CX80" s="6"/>
      <c r="CY80" s="6"/>
      <c r="CZ80" s="6"/>
      <c r="DA80" s="6"/>
      <c r="DB80" s="6"/>
      <c r="DC80" s="6"/>
    </row>
    <row r="81" spans="1:107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6"/>
      <c r="CV81" s="6"/>
      <c r="CW81" s="6"/>
      <c r="CX81" s="6"/>
      <c r="CY81" s="6"/>
      <c r="CZ81" s="6"/>
      <c r="DA81" s="6"/>
      <c r="DB81" s="6"/>
      <c r="DC81" s="6"/>
    </row>
    <row r="82" spans="1:107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6"/>
      <c r="CV82" s="6"/>
      <c r="CW82" s="6"/>
      <c r="CX82" s="6"/>
      <c r="CY82" s="6"/>
      <c r="CZ82" s="6"/>
      <c r="DA82" s="6"/>
      <c r="DB82" s="6"/>
      <c r="DC82" s="6"/>
    </row>
    <row r="83" spans="1:107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6"/>
      <c r="CV83" s="6"/>
      <c r="CW83" s="6"/>
      <c r="CX83" s="6"/>
      <c r="CY83" s="6"/>
      <c r="CZ83" s="6"/>
      <c r="DA83" s="6"/>
      <c r="DB83" s="6"/>
      <c r="DC83" s="6"/>
    </row>
    <row r="84" spans="1:107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6"/>
      <c r="CV84" s="6"/>
      <c r="CW84" s="6"/>
      <c r="CX84" s="6"/>
      <c r="CY84" s="6"/>
      <c r="CZ84" s="6"/>
      <c r="DA84" s="6"/>
      <c r="DB84" s="6"/>
      <c r="DC84" s="6"/>
    </row>
    <row r="85" spans="1:107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6"/>
      <c r="CV85" s="6"/>
      <c r="CW85" s="6"/>
      <c r="CX85" s="6"/>
      <c r="CY85" s="6"/>
      <c r="CZ85" s="6"/>
      <c r="DA85" s="6"/>
      <c r="DB85" s="6"/>
      <c r="DC85" s="6"/>
    </row>
    <row r="86" spans="1:107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6"/>
      <c r="CV86" s="6"/>
      <c r="CW86" s="6"/>
      <c r="CX86" s="6"/>
      <c r="CY86" s="6"/>
      <c r="CZ86" s="6"/>
      <c r="DA86" s="6"/>
      <c r="DB86" s="6"/>
      <c r="DC86" s="6"/>
    </row>
    <row r="87" spans="1:107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6"/>
      <c r="CV87" s="6"/>
      <c r="CW87" s="6"/>
      <c r="CX87" s="6"/>
      <c r="CY87" s="6"/>
      <c r="CZ87" s="6"/>
      <c r="DA87" s="6"/>
      <c r="DB87" s="6"/>
      <c r="DC87" s="6"/>
    </row>
    <row r="88" spans="1:107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6"/>
      <c r="CV88" s="6"/>
      <c r="CW88" s="6"/>
      <c r="CX88" s="6"/>
      <c r="CY88" s="6"/>
      <c r="CZ88" s="6"/>
      <c r="DA88" s="6"/>
      <c r="DB88" s="6"/>
      <c r="DC88" s="6"/>
    </row>
    <row r="89" spans="1:107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6"/>
      <c r="CV89" s="6"/>
      <c r="CW89" s="6"/>
      <c r="CX89" s="6"/>
      <c r="CY89" s="6"/>
      <c r="CZ89" s="6"/>
      <c r="DA89" s="6"/>
      <c r="DB89" s="6"/>
      <c r="DC89" s="6"/>
    </row>
    <row r="90" spans="1:107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6"/>
      <c r="CV90" s="6"/>
      <c r="CW90" s="6"/>
      <c r="CX90" s="6"/>
      <c r="CY90" s="6"/>
      <c r="CZ90" s="6"/>
      <c r="DA90" s="6"/>
      <c r="DB90" s="6"/>
      <c r="DC90" s="6"/>
    </row>
    <row r="91" spans="1:107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6"/>
      <c r="CV91" s="6"/>
      <c r="CW91" s="6"/>
      <c r="CX91" s="6"/>
      <c r="CY91" s="6"/>
      <c r="CZ91" s="6"/>
      <c r="DA91" s="6"/>
      <c r="DB91" s="6"/>
      <c r="DC91" s="6"/>
    </row>
    <row r="92" spans="1:107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6"/>
      <c r="CV92" s="6"/>
      <c r="CW92" s="6"/>
      <c r="CX92" s="6"/>
      <c r="CY92" s="6"/>
      <c r="CZ92" s="6"/>
      <c r="DA92" s="6"/>
      <c r="DB92" s="6"/>
      <c r="DC92" s="6"/>
    </row>
    <row r="93" spans="1:107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6"/>
      <c r="CV93" s="6"/>
      <c r="CW93" s="6"/>
      <c r="CX93" s="6"/>
      <c r="CY93" s="6"/>
      <c r="CZ93" s="6"/>
      <c r="DA93" s="6"/>
      <c r="DB93" s="6"/>
      <c r="DC93" s="6"/>
    </row>
    <row r="94" spans="1:107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6"/>
      <c r="CV94" s="6"/>
      <c r="CW94" s="6"/>
      <c r="CX94" s="6"/>
      <c r="CY94" s="6"/>
      <c r="CZ94" s="6"/>
      <c r="DA94" s="6"/>
      <c r="DB94" s="6"/>
      <c r="DC94" s="6"/>
    </row>
    <row r="95" spans="1:107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6"/>
      <c r="CV95" s="6"/>
      <c r="CW95" s="6"/>
      <c r="CX95" s="6"/>
      <c r="CY95" s="6"/>
      <c r="CZ95" s="6"/>
      <c r="DA95" s="6"/>
      <c r="DB95" s="6"/>
      <c r="DC95" s="6"/>
    </row>
    <row r="96" spans="1:107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6"/>
      <c r="CV96" s="6"/>
      <c r="CW96" s="6"/>
      <c r="CX96" s="6"/>
      <c r="CY96" s="6"/>
      <c r="CZ96" s="6"/>
      <c r="DA96" s="6"/>
      <c r="DB96" s="6"/>
      <c r="DC96" s="6"/>
    </row>
    <row r="97" spans="1:107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6"/>
      <c r="CV97" s="6"/>
      <c r="CW97" s="6"/>
      <c r="CX97" s="6"/>
      <c r="CY97" s="6"/>
      <c r="CZ97" s="6"/>
      <c r="DA97" s="6"/>
      <c r="DB97" s="6"/>
      <c r="DC97" s="6"/>
    </row>
    <row r="98" spans="1:107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6"/>
      <c r="AN98" s="6"/>
      <c r="AO98" s="6"/>
      <c r="AP98" s="6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6"/>
      <c r="CV98" s="6"/>
      <c r="CW98" s="6"/>
      <c r="CX98" s="6"/>
      <c r="CY98" s="6"/>
      <c r="CZ98" s="6"/>
      <c r="DA98" s="6"/>
      <c r="DB98" s="6"/>
      <c r="DC98" s="6"/>
    </row>
    <row r="99" spans="1:107" ht="14.25" customHeight="1" x14ac:dyDescent="0.2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  <c r="CZ99" s="6"/>
      <c r="DA99" s="6"/>
      <c r="DB99" s="6"/>
      <c r="DC99" s="6"/>
    </row>
    <row r="100" spans="1:107" ht="14.25" customHeight="1" x14ac:dyDescent="0.2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  <c r="CZ100" s="6"/>
      <c r="DA100" s="6"/>
      <c r="DB100" s="6"/>
      <c r="DC100" s="6"/>
    </row>
    <row r="101" spans="1:107" ht="14.25" customHeight="1" x14ac:dyDescent="0.2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  <c r="CT101" s="6"/>
      <c r="CU101" s="6"/>
      <c r="CV101" s="6"/>
      <c r="CW101" s="6"/>
      <c r="CX101" s="6"/>
      <c r="CY101" s="6"/>
      <c r="CZ101" s="6"/>
      <c r="DA101" s="6"/>
      <c r="DB101" s="6"/>
      <c r="DC101" s="6"/>
    </row>
    <row r="102" spans="1:107" ht="14.25" customHeight="1" x14ac:dyDescent="0.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  <c r="CT102" s="6"/>
      <c r="CU102" s="6"/>
      <c r="CV102" s="6"/>
      <c r="CW102" s="6"/>
      <c r="CX102" s="6"/>
      <c r="CY102" s="6"/>
      <c r="CZ102" s="6"/>
      <c r="DA102" s="6"/>
      <c r="DB102" s="6"/>
      <c r="DC102" s="6"/>
    </row>
    <row r="103" spans="1:107" ht="14.25" customHeight="1" x14ac:dyDescent="0.2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  <c r="CT103" s="6"/>
      <c r="CU103" s="6"/>
      <c r="CV103" s="6"/>
      <c r="CW103" s="6"/>
      <c r="CX103" s="6"/>
      <c r="CY103" s="6"/>
      <c r="CZ103" s="6"/>
      <c r="DA103" s="6"/>
      <c r="DB103" s="6"/>
      <c r="DC103" s="6"/>
    </row>
    <row r="104" spans="1:107" ht="14.25" customHeight="1" x14ac:dyDescent="0.2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  <c r="CU104" s="6"/>
      <c r="CV104" s="6"/>
      <c r="CW104" s="6"/>
      <c r="CX104" s="6"/>
      <c r="CY104" s="6"/>
      <c r="CZ104" s="6"/>
      <c r="DA104" s="6"/>
      <c r="DB104" s="6"/>
      <c r="DC104" s="6"/>
    </row>
    <row r="105" spans="1:107" ht="14.25" customHeight="1" x14ac:dyDescent="0.2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  <c r="CT105" s="6"/>
      <c r="CU105" s="6"/>
      <c r="CV105" s="6"/>
      <c r="CW105" s="6"/>
      <c r="CX105" s="6"/>
      <c r="CY105" s="6"/>
      <c r="CZ105" s="6"/>
      <c r="DA105" s="6"/>
      <c r="DB105" s="6"/>
      <c r="DC105" s="6"/>
    </row>
    <row r="106" spans="1:107" ht="14.25" customHeight="1" x14ac:dyDescent="0.2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  <c r="CT106" s="6"/>
      <c r="CU106" s="6"/>
      <c r="CV106" s="6"/>
      <c r="CW106" s="6"/>
      <c r="CX106" s="6"/>
      <c r="CY106" s="6"/>
      <c r="CZ106" s="6"/>
      <c r="DA106" s="6"/>
      <c r="DB106" s="6"/>
      <c r="DC106" s="6"/>
    </row>
    <row r="107" spans="1:107" ht="14.25" customHeight="1" x14ac:dyDescent="0.2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  <c r="CT107" s="6"/>
      <c r="CU107" s="6"/>
      <c r="CV107" s="6"/>
      <c r="CW107" s="6"/>
      <c r="CX107" s="6"/>
      <c r="CY107" s="6"/>
      <c r="CZ107" s="6"/>
      <c r="DA107" s="6"/>
      <c r="DB107" s="6"/>
      <c r="DC107" s="6"/>
    </row>
    <row r="108" spans="1:107" ht="14.25" customHeight="1" x14ac:dyDescent="0.2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  <c r="CU108" s="6"/>
      <c r="CV108" s="6"/>
      <c r="CW108" s="6"/>
      <c r="CX108" s="6"/>
      <c r="CY108" s="6"/>
      <c r="CZ108" s="6"/>
      <c r="DA108" s="6"/>
      <c r="DB108" s="6"/>
      <c r="DC108" s="6"/>
    </row>
    <row r="109" spans="1:107" ht="14.25" customHeight="1" x14ac:dyDescent="0.2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  <c r="CT109" s="6"/>
      <c r="CU109" s="6"/>
      <c r="CV109" s="6"/>
      <c r="CW109" s="6"/>
      <c r="CX109" s="6"/>
      <c r="CY109" s="6"/>
      <c r="CZ109" s="6"/>
      <c r="DA109" s="6"/>
      <c r="DB109" s="6"/>
      <c r="DC109" s="6"/>
    </row>
    <row r="110" spans="1:107" ht="14.25" customHeight="1" x14ac:dyDescent="0.2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/>
      <c r="CL110" s="6"/>
      <c r="CM110" s="6"/>
      <c r="CN110" s="6"/>
      <c r="CO110" s="6"/>
      <c r="CP110" s="6"/>
      <c r="CQ110" s="6"/>
      <c r="CR110" s="6"/>
      <c r="CS110" s="6"/>
      <c r="CT110" s="6"/>
      <c r="CU110" s="6"/>
      <c r="CV110" s="6"/>
      <c r="CW110" s="6"/>
      <c r="CX110" s="6"/>
      <c r="CY110" s="6"/>
      <c r="CZ110" s="6"/>
      <c r="DA110" s="6"/>
      <c r="DB110" s="6"/>
      <c r="DC110" s="6"/>
    </row>
    <row r="111" spans="1:107" ht="14.25" customHeight="1" x14ac:dyDescent="0.2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  <c r="CL111" s="6"/>
      <c r="CM111" s="6"/>
      <c r="CN111" s="6"/>
      <c r="CO111" s="6"/>
      <c r="CP111" s="6"/>
      <c r="CQ111" s="6"/>
      <c r="CR111" s="6"/>
      <c r="CS111" s="6"/>
      <c r="CT111" s="6"/>
      <c r="CU111" s="6"/>
      <c r="CV111" s="6"/>
      <c r="CW111" s="6"/>
      <c r="CX111" s="6"/>
      <c r="CY111" s="6"/>
      <c r="CZ111" s="6"/>
      <c r="DA111" s="6"/>
      <c r="DB111" s="6"/>
      <c r="DC111" s="6"/>
    </row>
    <row r="112" spans="1:107" ht="14.25" customHeight="1" x14ac:dyDescent="0.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6"/>
      <c r="CM112" s="6"/>
      <c r="CN112" s="6"/>
      <c r="CO112" s="6"/>
      <c r="CP112" s="6"/>
      <c r="CQ112" s="6"/>
      <c r="CR112" s="6"/>
      <c r="CS112" s="6"/>
      <c r="CT112" s="6"/>
      <c r="CU112" s="6"/>
      <c r="CV112" s="6"/>
      <c r="CW112" s="6"/>
      <c r="CX112" s="6"/>
      <c r="CY112" s="6"/>
      <c r="CZ112" s="6"/>
      <c r="DA112" s="6"/>
      <c r="DB112" s="6"/>
      <c r="DC112" s="6"/>
    </row>
    <row r="113" spans="1:107" ht="14.25" customHeight="1" x14ac:dyDescent="0.2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6"/>
      <c r="CS113" s="6"/>
      <c r="CT113" s="6"/>
      <c r="CU113" s="6"/>
      <c r="CV113" s="6"/>
      <c r="CW113" s="6"/>
      <c r="CX113" s="6"/>
      <c r="CY113" s="6"/>
      <c r="CZ113" s="6"/>
      <c r="DA113" s="6"/>
      <c r="DB113" s="6"/>
      <c r="DC113" s="6"/>
    </row>
    <row r="114" spans="1:107" ht="14.25" customHeight="1" x14ac:dyDescent="0.2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6"/>
      <c r="CM114" s="6"/>
      <c r="CN114" s="6"/>
      <c r="CO114" s="6"/>
      <c r="CP114" s="6"/>
      <c r="CQ114" s="6"/>
      <c r="CR114" s="6"/>
      <c r="CS114" s="6"/>
      <c r="CT114" s="6"/>
      <c r="CU114" s="6"/>
      <c r="CV114" s="6"/>
      <c r="CW114" s="6"/>
      <c r="CX114" s="6"/>
      <c r="CY114" s="6"/>
      <c r="CZ114" s="6"/>
      <c r="DA114" s="6"/>
      <c r="DB114" s="6"/>
      <c r="DC114" s="6"/>
    </row>
    <row r="115" spans="1:107" ht="14.25" customHeight="1" x14ac:dyDescent="0.2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6"/>
      <c r="CM115" s="6"/>
      <c r="CN115" s="6"/>
      <c r="CO115" s="6"/>
      <c r="CP115" s="6"/>
      <c r="CQ115" s="6"/>
      <c r="CR115" s="6"/>
      <c r="CS115" s="6"/>
      <c r="CT115" s="6"/>
      <c r="CU115" s="6"/>
      <c r="CV115" s="6"/>
      <c r="CW115" s="6"/>
      <c r="CX115" s="6"/>
      <c r="CY115" s="6"/>
      <c r="CZ115" s="6"/>
      <c r="DA115" s="6"/>
      <c r="DB115" s="6"/>
      <c r="DC115" s="6"/>
    </row>
    <row r="116" spans="1:107" ht="14.25" customHeight="1" x14ac:dyDescent="0.2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/>
      <c r="CU116" s="6"/>
      <c r="CV116" s="6"/>
      <c r="CW116" s="6"/>
      <c r="CX116" s="6"/>
      <c r="CY116" s="6"/>
      <c r="CZ116" s="6"/>
      <c r="DA116" s="6"/>
      <c r="DB116" s="6"/>
      <c r="DC116" s="6"/>
    </row>
    <row r="117" spans="1:107" ht="14.25" customHeight="1" x14ac:dyDescent="0.2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/>
      <c r="CQ117" s="6"/>
      <c r="CR117" s="6"/>
      <c r="CS117" s="6"/>
      <c r="CT117" s="6"/>
      <c r="CU117" s="6"/>
      <c r="CV117" s="6"/>
      <c r="CW117" s="6"/>
      <c r="CX117" s="6"/>
      <c r="CY117" s="6"/>
      <c r="CZ117" s="6"/>
      <c r="DA117" s="6"/>
      <c r="DB117" s="6"/>
      <c r="DC117" s="6"/>
    </row>
    <row r="118" spans="1:107" ht="14.25" customHeight="1" x14ac:dyDescent="0.2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6"/>
      <c r="CM118" s="6"/>
      <c r="CN118" s="6"/>
      <c r="CO118" s="6"/>
      <c r="CP118" s="6"/>
      <c r="CQ118" s="6"/>
      <c r="CR118" s="6"/>
      <c r="CS118" s="6"/>
      <c r="CT118" s="6"/>
      <c r="CU118" s="6"/>
      <c r="CV118" s="6"/>
      <c r="CW118" s="6"/>
      <c r="CX118" s="6"/>
      <c r="CY118" s="6"/>
      <c r="CZ118" s="6"/>
      <c r="DA118" s="6"/>
      <c r="DB118" s="6"/>
      <c r="DC118" s="6"/>
    </row>
    <row r="119" spans="1:107" ht="14.25" customHeight="1" x14ac:dyDescent="0.2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  <c r="CI119" s="6"/>
      <c r="CJ119" s="6"/>
      <c r="CK119" s="6"/>
      <c r="CL119" s="6"/>
      <c r="CM119" s="6"/>
      <c r="CN119" s="6"/>
      <c r="CO119" s="6"/>
      <c r="CP119" s="6"/>
      <c r="CQ119" s="6"/>
      <c r="CR119" s="6"/>
      <c r="CS119" s="6"/>
      <c r="CT119" s="6"/>
      <c r="CU119" s="6"/>
      <c r="CV119" s="6"/>
      <c r="CW119" s="6"/>
      <c r="CX119" s="6"/>
      <c r="CY119" s="6"/>
      <c r="CZ119" s="6"/>
      <c r="DA119" s="6"/>
      <c r="DB119" s="6"/>
      <c r="DC119" s="6"/>
    </row>
    <row r="120" spans="1:107" ht="14.25" customHeight="1" x14ac:dyDescent="0.2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6"/>
      <c r="CK120" s="6"/>
      <c r="CL120" s="6"/>
      <c r="CM120" s="6"/>
      <c r="CN120" s="6"/>
      <c r="CO120" s="6"/>
      <c r="CP120" s="6"/>
      <c r="CQ120" s="6"/>
      <c r="CR120" s="6"/>
      <c r="CS120" s="6"/>
      <c r="CT120" s="6"/>
      <c r="CU120" s="6"/>
      <c r="CV120" s="6"/>
      <c r="CW120" s="6"/>
      <c r="CX120" s="6"/>
      <c r="CY120" s="6"/>
      <c r="CZ120" s="6"/>
      <c r="DA120" s="6"/>
      <c r="DB120" s="6"/>
      <c r="DC120" s="6"/>
    </row>
    <row r="121" spans="1:107" ht="14.25" customHeight="1" x14ac:dyDescent="0.2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  <c r="CI121" s="6"/>
      <c r="CJ121" s="6"/>
      <c r="CK121" s="6"/>
      <c r="CL121" s="6"/>
      <c r="CM121" s="6"/>
      <c r="CN121" s="6"/>
      <c r="CO121" s="6"/>
      <c r="CP121" s="6"/>
      <c r="CQ121" s="6"/>
      <c r="CR121" s="6"/>
      <c r="CS121" s="6"/>
      <c r="CT121" s="6"/>
      <c r="CU121" s="6"/>
      <c r="CV121" s="6"/>
      <c r="CW121" s="6"/>
      <c r="CX121" s="6"/>
      <c r="CY121" s="6"/>
      <c r="CZ121" s="6"/>
      <c r="DA121" s="6"/>
      <c r="DB121" s="6"/>
      <c r="DC121" s="6"/>
    </row>
    <row r="122" spans="1:107" ht="14.25" customHeight="1" x14ac:dyDescent="0.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6"/>
      <c r="CK122" s="6"/>
      <c r="CL122" s="6"/>
      <c r="CM122" s="6"/>
      <c r="CN122" s="6"/>
      <c r="CO122" s="6"/>
      <c r="CP122" s="6"/>
      <c r="CQ122" s="6"/>
      <c r="CR122" s="6"/>
      <c r="CS122" s="6"/>
      <c r="CT122" s="6"/>
      <c r="CU122" s="6"/>
      <c r="CV122" s="6"/>
      <c r="CW122" s="6"/>
      <c r="CX122" s="6"/>
      <c r="CY122" s="6"/>
      <c r="CZ122" s="6"/>
      <c r="DA122" s="6"/>
      <c r="DB122" s="6"/>
      <c r="DC122" s="6"/>
    </row>
    <row r="123" spans="1:107" ht="14.25" customHeight="1" x14ac:dyDescent="0.2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6"/>
      <c r="CI123" s="6"/>
      <c r="CJ123" s="6"/>
      <c r="CK123" s="6"/>
      <c r="CL123" s="6"/>
      <c r="CM123" s="6"/>
      <c r="CN123" s="6"/>
      <c r="CO123" s="6"/>
      <c r="CP123" s="6"/>
      <c r="CQ123" s="6"/>
      <c r="CR123" s="6"/>
      <c r="CS123" s="6"/>
      <c r="CT123" s="6"/>
      <c r="CU123" s="6"/>
      <c r="CV123" s="6"/>
      <c r="CW123" s="6"/>
      <c r="CX123" s="6"/>
      <c r="CY123" s="6"/>
      <c r="CZ123" s="6"/>
      <c r="DA123" s="6"/>
      <c r="DB123" s="6"/>
      <c r="DC123" s="6"/>
    </row>
    <row r="124" spans="1:107" ht="14.25" customHeight="1" x14ac:dyDescent="0.2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6"/>
      <c r="CK124" s="6"/>
      <c r="CL124" s="6"/>
      <c r="CM124" s="6"/>
      <c r="CN124" s="6"/>
      <c r="CO124" s="6"/>
      <c r="CP124" s="6"/>
      <c r="CQ124" s="6"/>
      <c r="CR124" s="6"/>
      <c r="CS124" s="6"/>
      <c r="CT124" s="6"/>
      <c r="CU124" s="6"/>
      <c r="CV124" s="6"/>
      <c r="CW124" s="6"/>
      <c r="CX124" s="6"/>
      <c r="CY124" s="6"/>
      <c r="CZ124" s="6"/>
      <c r="DA124" s="6"/>
      <c r="DB124" s="6"/>
      <c r="DC124" s="6"/>
    </row>
    <row r="125" spans="1:107" ht="14.25" customHeight="1" x14ac:dyDescent="0.2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/>
      <c r="CH125" s="6"/>
      <c r="CI125" s="6"/>
      <c r="CJ125" s="6"/>
      <c r="CK125" s="6"/>
      <c r="CL125" s="6"/>
      <c r="CM125" s="6"/>
      <c r="CN125" s="6"/>
      <c r="CO125" s="6"/>
      <c r="CP125" s="6"/>
      <c r="CQ125" s="6"/>
      <c r="CR125" s="6"/>
      <c r="CS125" s="6"/>
      <c r="CT125" s="6"/>
      <c r="CU125" s="6"/>
      <c r="CV125" s="6"/>
      <c r="CW125" s="6"/>
      <c r="CX125" s="6"/>
      <c r="CY125" s="6"/>
      <c r="CZ125" s="6"/>
      <c r="DA125" s="6"/>
      <c r="DB125" s="6"/>
      <c r="DC125" s="6"/>
    </row>
    <row r="126" spans="1:107" ht="14.25" customHeight="1" x14ac:dyDescent="0.2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/>
      <c r="CH126" s="6"/>
      <c r="CI126" s="6"/>
      <c r="CJ126" s="6"/>
      <c r="CK126" s="6"/>
      <c r="CL126" s="6"/>
      <c r="CM126" s="6"/>
      <c r="CN126" s="6"/>
      <c r="CO126" s="6"/>
      <c r="CP126" s="6"/>
      <c r="CQ126" s="6"/>
      <c r="CR126" s="6"/>
      <c r="CS126" s="6"/>
      <c r="CT126" s="6"/>
      <c r="CU126" s="6"/>
      <c r="CV126" s="6"/>
      <c r="CW126" s="6"/>
      <c r="CX126" s="6"/>
      <c r="CY126" s="6"/>
      <c r="CZ126" s="6"/>
      <c r="DA126" s="6"/>
      <c r="DB126" s="6"/>
      <c r="DC126" s="6"/>
    </row>
    <row r="127" spans="1:107" ht="14.25" customHeight="1" x14ac:dyDescent="0.2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6"/>
      <c r="CE127" s="6"/>
      <c r="CF127" s="6"/>
      <c r="CG127" s="6"/>
      <c r="CH127" s="6"/>
      <c r="CI127" s="6"/>
      <c r="CJ127" s="6"/>
      <c r="CK127" s="6"/>
      <c r="CL127" s="6"/>
      <c r="CM127" s="6"/>
      <c r="CN127" s="6"/>
      <c r="CO127" s="6"/>
      <c r="CP127" s="6"/>
      <c r="CQ127" s="6"/>
      <c r="CR127" s="6"/>
      <c r="CS127" s="6"/>
      <c r="CT127" s="6"/>
      <c r="CU127" s="6"/>
      <c r="CV127" s="6"/>
      <c r="CW127" s="6"/>
      <c r="CX127" s="6"/>
      <c r="CY127" s="6"/>
      <c r="CZ127" s="6"/>
      <c r="DA127" s="6"/>
      <c r="DB127" s="6"/>
      <c r="DC127" s="6"/>
    </row>
    <row r="128" spans="1:107" ht="14.25" customHeight="1" x14ac:dyDescent="0.2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6"/>
      <c r="CI128" s="6"/>
      <c r="CJ128" s="6"/>
      <c r="CK128" s="6"/>
      <c r="CL128" s="6"/>
      <c r="CM128" s="6"/>
      <c r="CN128" s="6"/>
      <c r="CO128" s="6"/>
      <c r="CP128" s="6"/>
      <c r="CQ128" s="6"/>
      <c r="CR128" s="6"/>
      <c r="CS128" s="6"/>
      <c r="CT128" s="6"/>
      <c r="CU128" s="6"/>
      <c r="CV128" s="6"/>
      <c r="CW128" s="6"/>
      <c r="CX128" s="6"/>
      <c r="CY128" s="6"/>
      <c r="CZ128" s="6"/>
      <c r="DA128" s="6"/>
      <c r="DB128" s="6"/>
      <c r="DC128" s="6"/>
    </row>
    <row r="129" spans="1:107" ht="14.25" customHeight="1" x14ac:dyDescent="0.2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6"/>
      <c r="CI129" s="6"/>
      <c r="CJ129" s="6"/>
      <c r="CK129" s="6"/>
      <c r="CL129" s="6"/>
      <c r="CM129" s="6"/>
      <c r="CN129" s="6"/>
      <c r="CO129" s="6"/>
      <c r="CP129" s="6"/>
      <c r="CQ129" s="6"/>
      <c r="CR129" s="6"/>
      <c r="CS129" s="6"/>
      <c r="CT129" s="6"/>
      <c r="CU129" s="6"/>
      <c r="CV129" s="6"/>
      <c r="CW129" s="6"/>
      <c r="CX129" s="6"/>
      <c r="CY129" s="6"/>
      <c r="CZ129" s="6"/>
      <c r="DA129" s="6"/>
      <c r="DB129" s="6"/>
      <c r="DC129" s="6"/>
    </row>
    <row r="130" spans="1:107" ht="14.25" customHeight="1" x14ac:dyDescent="0.2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6"/>
      <c r="CE130" s="6"/>
      <c r="CF130" s="6"/>
      <c r="CG130" s="6"/>
      <c r="CH130" s="6"/>
      <c r="CI130" s="6"/>
      <c r="CJ130" s="6"/>
      <c r="CK130" s="6"/>
      <c r="CL130" s="6"/>
      <c r="CM130" s="6"/>
      <c r="CN130" s="6"/>
      <c r="CO130" s="6"/>
      <c r="CP130" s="6"/>
      <c r="CQ130" s="6"/>
      <c r="CR130" s="6"/>
      <c r="CS130" s="6"/>
      <c r="CT130" s="6"/>
      <c r="CU130" s="6"/>
      <c r="CV130" s="6"/>
      <c r="CW130" s="6"/>
      <c r="CX130" s="6"/>
      <c r="CY130" s="6"/>
      <c r="CZ130" s="6"/>
      <c r="DA130" s="6"/>
      <c r="DB130" s="6"/>
      <c r="DC130" s="6"/>
    </row>
    <row r="131" spans="1:107" ht="14.25" customHeight="1" x14ac:dyDescent="0.2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6"/>
      <c r="CI131" s="6"/>
      <c r="CJ131" s="6"/>
      <c r="CK131" s="6"/>
      <c r="CL131" s="6"/>
      <c r="CM131" s="6"/>
      <c r="CN131" s="6"/>
      <c r="CO131" s="6"/>
      <c r="CP131" s="6"/>
      <c r="CQ131" s="6"/>
      <c r="CR131" s="6"/>
      <c r="CS131" s="6"/>
      <c r="CT131" s="6"/>
      <c r="CU131" s="6"/>
      <c r="CV131" s="6"/>
      <c r="CW131" s="6"/>
      <c r="CX131" s="6"/>
      <c r="CY131" s="6"/>
      <c r="CZ131" s="6"/>
      <c r="DA131" s="6"/>
      <c r="DB131" s="6"/>
      <c r="DC131" s="6"/>
    </row>
    <row r="132" spans="1:107" ht="14.25" customHeight="1" x14ac:dyDescent="0.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6"/>
      <c r="BU132" s="6"/>
      <c r="BV132" s="6"/>
      <c r="BW132" s="6"/>
      <c r="BX132" s="6"/>
      <c r="BY132" s="6"/>
      <c r="BZ132" s="6"/>
      <c r="CA132" s="6"/>
      <c r="CB132" s="6"/>
      <c r="CC132" s="6"/>
      <c r="CD132" s="6"/>
      <c r="CE132" s="6"/>
      <c r="CF132" s="6"/>
      <c r="CG132" s="6"/>
      <c r="CH132" s="6"/>
      <c r="CI132" s="6"/>
      <c r="CJ132" s="6"/>
      <c r="CK132" s="6"/>
      <c r="CL132" s="6"/>
      <c r="CM132" s="6"/>
      <c r="CN132" s="6"/>
      <c r="CO132" s="6"/>
      <c r="CP132" s="6"/>
      <c r="CQ132" s="6"/>
      <c r="CR132" s="6"/>
      <c r="CS132" s="6"/>
      <c r="CT132" s="6"/>
      <c r="CU132" s="6"/>
      <c r="CV132" s="6"/>
      <c r="CW132" s="6"/>
      <c r="CX132" s="6"/>
      <c r="CY132" s="6"/>
      <c r="CZ132" s="6"/>
      <c r="DA132" s="6"/>
      <c r="DB132" s="6"/>
      <c r="DC132" s="6"/>
    </row>
    <row r="133" spans="1:107" ht="14.25" customHeight="1" x14ac:dyDescent="0.2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6"/>
      <c r="BU133" s="6"/>
      <c r="BV133" s="6"/>
      <c r="BW133" s="6"/>
      <c r="BX133" s="6"/>
      <c r="BY133" s="6"/>
      <c r="BZ133" s="6"/>
      <c r="CA133" s="6"/>
      <c r="CB133" s="6"/>
      <c r="CC133" s="6"/>
      <c r="CD133" s="6"/>
      <c r="CE133" s="6"/>
      <c r="CF133" s="6"/>
      <c r="CG133" s="6"/>
      <c r="CH133" s="6"/>
      <c r="CI133" s="6"/>
      <c r="CJ133" s="6"/>
      <c r="CK133" s="6"/>
      <c r="CL133" s="6"/>
      <c r="CM133" s="6"/>
      <c r="CN133" s="6"/>
      <c r="CO133" s="6"/>
      <c r="CP133" s="6"/>
      <c r="CQ133" s="6"/>
      <c r="CR133" s="6"/>
      <c r="CS133" s="6"/>
      <c r="CT133" s="6"/>
      <c r="CU133" s="6"/>
      <c r="CV133" s="6"/>
      <c r="CW133" s="6"/>
      <c r="CX133" s="6"/>
      <c r="CY133" s="6"/>
      <c r="CZ133" s="6"/>
      <c r="DA133" s="6"/>
      <c r="DB133" s="6"/>
      <c r="DC133" s="6"/>
    </row>
    <row r="134" spans="1:107" ht="14.25" customHeight="1" x14ac:dyDescent="0.2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  <c r="BU134" s="6"/>
      <c r="BV134" s="6"/>
      <c r="BW134" s="6"/>
      <c r="BX134" s="6"/>
      <c r="BY134" s="6"/>
      <c r="BZ134" s="6"/>
      <c r="CA134" s="6"/>
      <c r="CB134" s="6"/>
      <c r="CC134" s="6"/>
      <c r="CD134" s="6"/>
      <c r="CE134" s="6"/>
      <c r="CF134" s="6"/>
      <c r="CG134" s="6"/>
      <c r="CH134" s="6"/>
      <c r="CI134" s="6"/>
      <c r="CJ134" s="6"/>
      <c r="CK134" s="6"/>
      <c r="CL134" s="6"/>
      <c r="CM134" s="6"/>
      <c r="CN134" s="6"/>
      <c r="CO134" s="6"/>
      <c r="CP134" s="6"/>
      <c r="CQ134" s="6"/>
      <c r="CR134" s="6"/>
      <c r="CS134" s="6"/>
      <c r="CT134" s="6"/>
      <c r="CU134" s="6"/>
      <c r="CV134" s="6"/>
      <c r="CW134" s="6"/>
      <c r="CX134" s="6"/>
      <c r="CY134" s="6"/>
      <c r="CZ134" s="6"/>
      <c r="DA134" s="6"/>
      <c r="DB134" s="6"/>
      <c r="DC134" s="6"/>
    </row>
    <row r="135" spans="1:107" ht="14.25" customHeight="1" x14ac:dyDescent="0.2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  <c r="BU135" s="6"/>
      <c r="BV135" s="6"/>
      <c r="BW135" s="6"/>
      <c r="BX135" s="6"/>
      <c r="BY135" s="6"/>
      <c r="BZ135" s="6"/>
      <c r="CA135" s="6"/>
      <c r="CB135" s="6"/>
      <c r="CC135" s="6"/>
      <c r="CD135" s="6"/>
      <c r="CE135" s="6"/>
      <c r="CF135" s="6"/>
      <c r="CG135" s="6"/>
      <c r="CH135" s="6"/>
      <c r="CI135" s="6"/>
      <c r="CJ135" s="6"/>
      <c r="CK135" s="6"/>
      <c r="CL135" s="6"/>
      <c r="CM135" s="6"/>
      <c r="CN135" s="6"/>
      <c r="CO135" s="6"/>
      <c r="CP135" s="6"/>
      <c r="CQ135" s="6"/>
      <c r="CR135" s="6"/>
      <c r="CS135" s="6"/>
      <c r="CT135" s="6"/>
      <c r="CU135" s="6"/>
      <c r="CV135" s="6"/>
      <c r="CW135" s="6"/>
      <c r="CX135" s="6"/>
      <c r="CY135" s="6"/>
      <c r="CZ135" s="6"/>
      <c r="DA135" s="6"/>
      <c r="DB135" s="6"/>
      <c r="DC135" s="6"/>
    </row>
    <row r="136" spans="1:107" ht="14.25" customHeight="1" x14ac:dyDescent="0.2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  <c r="BS136" s="6"/>
      <c r="BT136" s="6"/>
      <c r="BU136" s="6"/>
      <c r="BV136" s="6"/>
      <c r="BW136" s="6"/>
      <c r="BX136" s="6"/>
      <c r="BY136" s="6"/>
      <c r="BZ136" s="6"/>
      <c r="CA136" s="6"/>
      <c r="CB136" s="6"/>
      <c r="CC136" s="6"/>
      <c r="CD136" s="6"/>
      <c r="CE136" s="6"/>
      <c r="CF136" s="6"/>
      <c r="CG136" s="6"/>
      <c r="CH136" s="6"/>
      <c r="CI136" s="6"/>
      <c r="CJ136" s="6"/>
      <c r="CK136" s="6"/>
      <c r="CL136" s="6"/>
      <c r="CM136" s="6"/>
      <c r="CN136" s="6"/>
      <c r="CO136" s="6"/>
      <c r="CP136" s="6"/>
      <c r="CQ136" s="6"/>
      <c r="CR136" s="6"/>
      <c r="CS136" s="6"/>
      <c r="CT136" s="6"/>
      <c r="CU136" s="6"/>
      <c r="CV136" s="6"/>
      <c r="CW136" s="6"/>
      <c r="CX136" s="6"/>
      <c r="CY136" s="6"/>
      <c r="CZ136" s="6"/>
      <c r="DA136" s="6"/>
      <c r="DB136" s="6"/>
      <c r="DC136" s="6"/>
    </row>
    <row r="137" spans="1:107" ht="14.25" customHeight="1" x14ac:dyDescent="0.2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  <c r="BN137" s="6"/>
      <c r="BO137" s="6"/>
      <c r="BP137" s="6"/>
      <c r="BQ137" s="6"/>
      <c r="BR137" s="6"/>
      <c r="BS137" s="6"/>
      <c r="BT137" s="6"/>
      <c r="BU137" s="6"/>
      <c r="BV137" s="6"/>
      <c r="BW137" s="6"/>
      <c r="BX137" s="6"/>
      <c r="BY137" s="6"/>
      <c r="BZ137" s="6"/>
      <c r="CA137" s="6"/>
      <c r="CB137" s="6"/>
      <c r="CC137" s="6"/>
      <c r="CD137" s="6"/>
      <c r="CE137" s="6"/>
      <c r="CF137" s="6"/>
      <c r="CG137" s="6"/>
      <c r="CH137" s="6"/>
      <c r="CI137" s="6"/>
      <c r="CJ137" s="6"/>
      <c r="CK137" s="6"/>
      <c r="CL137" s="6"/>
      <c r="CM137" s="6"/>
      <c r="CN137" s="6"/>
      <c r="CO137" s="6"/>
      <c r="CP137" s="6"/>
      <c r="CQ137" s="6"/>
      <c r="CR137" s="6"/>
      <c r="CS137" s="6"/>
      <c r="CT137" s="6"/>
      <c r="CU137" s="6"/>
      <c r="CV137" s="6"/>
      <c r="CW137" s="6"/>
      <c r="CX137" s="6"/>
      <c r="CY137" s="6"/>
      <c r="CZ137" s="6"/>
      <c r="DA137" s="6"/>
      <c r="DB137" s="6"/>
      <c r="DC137" s="6"/>
    </row>
    <row r="138" spans="1:107" ht="14.25" customHeight="1" x14ac:dyDescent="0.2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6"/>
      <c r="BT138" s="6"/>
      <c r="BU138" s="6"/>
      <c r="BV138" s="6"/>
      <c r="BW138" s="6"/>
      <c r="BX138" s="6"/>
      <c r="BY138" s="6"/>
      <c r="BZ138" s="6"/>
      <c r="CA138" s="6"/>
      <c r="CB138" s="6"/>
      <c r="CC138" s="6"/>
      <c r="CD138" s="6"/>
      <c r="CE138" s="6"/>
      <c r="CF138" s="6"/>
      <c r="CG138" s="6"/>
      <c r="CH138" s="6"/>
      <c r="CI138" s="6"/>
      <c r="CJ138" s="6"/>
      <c r="CK138" s="6"/>
      <c r="CL138" s="6"/>
      <c r="CM138" s="6"/>
      <c r="CN138" s="6"/>
      <c r="CO138" s="6"/>
      <c r="CP138" s="6"/>
      <c r="CQ138" s="6"/>
      <c r="CR138" s="6"/>
      <c r="CS138" s="6"/>
      <c r="CT138" s="6"/>
      <c r="CU138" s="6"/>
      <c r="CV138" s="6"/>
      <c r="CW138" s="6"/>
      <c r="CX138" s="6"/>
      <c r="CY138" s="6"/>
      <c r="CZ138" s="6"/>
      <c r="DA138" s="6"/>
      <c r="DB138" s="6"/>
      <c r="DC138" s="6"/>
    </row>
    <row r="139" spans="1:107" ht="14.25" customHeight="1" x14ac:dyDescent="0.2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6"/>
      <c r="BT139" s="6"/>
      <c r="BU139" s="6"/>
      <c r="BV139" s="6"/>
      <c r="BW139" s="6"/>
      <c r="BX139" s="6"/>
      <c r="BY139" s="6"/>
      <c r="BZ139" s="6"/>
      <c r="CA139" s="6"/>
      <c r="CB139" s="6"/>
      <c r="CC139" s="6"/>
      <c r="CD139" s="6"/>
      <c r="CE139" s="6"/>
      <c r="CF139" s="6"/>
      <c r="CG139" s="6"/>
      <c r="CH139" s="6"/>
      <c r="CI139" s="6"/>
      <c r="CJ139" s="6"/>
      <c r="CK139" s="6"/>
      <c r="CL139" s="6"/>
      <c r="CM139" s="6"/>
      <c r="CN139" s="6"/>
      <c r="CO139" s="6"/>
      <c r="CP139" s="6"/>
      <c r="CQ139" s="6"/>
      <c r="CR139" s="6"/>
      <c r="CS139" s="6"/>
      <c r="CT139" s="6"/>
      <c r="CU139" s="6"/>
      <c r="CV139" s="6"/>
      <c r="CW139" s="6"/>
      <c r="CX139" s="6"/>
      <c r="CY139" s="6"/>
      <c r="CZ139" s="6"/>
      <c r="DA139" s="6"/>
      <c r="DB139" s="6"/>
      <c r="DC139" s="6"/>
    </row>
    <row r="140" spans="1:107" ht="14.25" customHeight="1" x14ac:dyDescent="0.2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  <c r="BP140" s="6"/>
      <c r="BQ140" s="6"/>
      <c r="BR140" s="6"/>
      <c r="BS140" s="6"/>
      <c r="BT140" s="6"/>
      <c r="BU140" s="6"/>
      <c r="BV140" s="6"/>
      <c r="BW140" s="6"/>
      <c r="BX140" s="6"/>
      <c r="BY140" s="6"/>
      <c r="BZ140" s="6"/>
      <c r="CA140" s="6"/>
      <c r="CB140" s="6"/>
      <c r="CC140" s="6"/>
      <c r="CD140" s="6"/>
      <c r="CE140" s="6"/>
      <c r="CF140" s="6"/>
      <c r="CG140" s="6"/>
      <c r="CH140" s="6"/>
      <c r="CI140" s="6"/>
      <c r="CJ140" s="6"/>
      <c r="CK140" s="6"/>
      <c r="CL140" s="6"/>
      <c r="CM140" s="6"/>
      <c r="CN140" s="6"/>
      <c r="CO140" s="6"/>
      <c r="CP140" s="6"/>
      <c r="CQ140" s="6"/>
      <c r="CR140" s="6"/>
      <c r="CS140" s="6"/>
      <c r="CT140" s="6"/>
      <c r="CU140" s="6"/>
      <c r="CV140" s="6"/>
      <c r="CW140" s="6"/>
      <c r="CX140" s="6"/>
      <c r="CY140" s="6"/>
      <c r="CZ140" s="6"/>
      <c r="DA140" s="6"/>
      <c r="DB140" s="6"/>
      <c r="DC140" s="6"/>
    </row>
    <row r="141" spans="1:107" ht="14.25" customHeight="1" x14ac:dyDescent="0.2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/>
      <c r="BS141" s="6"/>
      <c r="BT141" s="6"/>
      <c r="BU141" s="6"/>
      <c r="BV141" s="6"/>
      <c r="BW141" s="6"/>
      <c r="BX141" s="6"/>
      <c r="BY141" s="6"/>
      <c r="BZ141" s="6"/>
      <c r="CA141" s="6"/>
      <c r="CB141" s="6"/>
      <c r="CC141" s="6"/>
      <c r="CD141" s="6"/>
      <c r="CE141" s="6"/>
      <c r="CF141" s="6"/>
      <c r="CG141" s="6"/>
      <c r="CH141" s="6"/>
      <c r="CI141" s="6"/>
      <c r="CJ141" s="6"/>
      <c r="CK141" s="6"/>
      <c r="CL141" s="6"/>
      <c r="CM141" s="6"/>
      <c r="CN141" s="6"/>
      <c r="CO141" s="6"/>
      <c r="CP141" s="6"/>
      <c r="CQ141" s="6"/>
      <c r="CR141" s="6"/>
      <c r="CS141" s="6"/>
      <c r="CT141" s="6"/>
      <c r="CU141" s="6"/>
      <c r="CV141" s="6"/>
      <c r="CW141" s="6"/>
      <c r="CX141" s="6"/>
      <c r="CY141" s="6"/>
      <c r="CZ141" s="6"/>
      <c r="DA141" s="6"/>
      <c r="DB141" s="6"/>
      <c r="DC141" s="6"/>
    </row>
    <row r="142" spans="1:107" ht="14.25" customHeight="1" x14ac:dyDescent="0.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  <c r="BP142" s="6"/>
      <c r="BQ142" s="6"/>
      <c r="BR142" s="6"/>
      <c r="BS142" s="6"/>
      <c r="BT142" s="6"/>
      <c r="BU142" s="6"/>
      <c r="BV142" s="6"/>
      <c r="BW142" s="6"/>
      <c r="BX142" s="6"/>
      <c r="BY142" s="6"/>
      <c r="BZ142" s="6"/>
      <c r="CA142" s="6"/>
      <c r="CB142" s="6"/>
      <c r="CC142" s="6"/>
      <c r="CD142" s="6"/>
      <c r="CE142" s="6"/>
      <c r="CF142" s="6"/>
      <c r="CG142" s="6"/>
      <c r="CH142" s="6"/>
      <c r="CI142" s="6"/>
      <c r="CJ142" s="6"/>
      <c r="CK142" s="6"/>
      <c r="CL142" s="6"/>
      <c r="CM142" s="6"/>
      <c r="CN142" s="6"/>
      <c r="CO142" s="6"/>
      <c r="CP142" s="6"/>
      <c r="CQ142" s="6"/>
      <c r="CR142" s="6"/>
      <c r="CS142" s="6"/>
      <c r="CT142" s="6"/>
      <c r="CU142" s="6"/>
      <c r="CV142" s="6"/>
      <c r="CW142" s="6"/>
      <c r="CX142" s="6"/>
      <c r="CY142" s="6"/>
      <c r="CZ142" s="6"/>
      <c r="DA142" s="6"/>
      <c r="DB142" s="6"/>
      <c r="DC142" s="6"/>
    </row>
    <row r="143" spans="1:107" ht="14.25" customHeight="1" x14ac:dyDescent="0.2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  <c r="BP143" s="6"/>
      <c r="BQ143" s="6"/>
      <c r="BR143" s="6"/>
      <c r="BS143" s="6"/>
      <c r="BT143" s="6"/>
      <c r="BU143" s="6"/>
      <c r="BV143" s="6"/>
      <c r="BW143" s="6"/>
      <c r="BX143" s="6"/>
      <c r="BY143" s="6"/>
      <c r="BZ143" s="6"/>
      <c r="CA143" s="6"/>
      <c r="CB143" s="6"/>
      <c r="CC143" s="6"/>
      <c r="CD143" s="6"/>
      <c r="CE143" s="6"/>
      <c r="CF143" s="6"/>
      <c r="CG143" s="6"/>
      <c r="CH143" s="6"/>
      <c r="CI143" s="6"/>
      <c r="CJ143" s="6"/>
      <c r="CK143" s="6"/>
      <c r="CL143" s="6"/>
      <c r="CM143" s="6"/>
      <c r="CN143" s="6"/>
      <c r="CO143" s="6"/>
      <c r="CP143" s="6"/>
      <c r="CQ143" s="6"/>
      <c r="CR143" s="6"/>
      <c r="CS143" s="6"/>
      <c r="CT143" s="6"/>
      <c r="CU143" s="6"/>
      <c r="CV143" s="6"/>
      <c r="CW143" s="6"/>
      <c r="CX143" s="6"/>
      <c r="CY143" s="6"/>
      <c r="CZ143" s="6"/>
      <c r="DA143" s="6"/>
      <c r="DB143" s="6"/>
      <c r="DC143" s="6"/>
    </row>
    <row r="144" spans="1:107" ht="14.25" customHeight="1" x14ac:dyDescent="0.2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6"/>
      <c r="BT144" s="6"/>
      <c r="BU144" s="6"/>
      <c r="BV144" s="6"/>
      <c r="BW144" s="6"/>
      <c r="BX144" s="6"/>
      <c r="BY144" s="6"/>
      <c r="BZ144" s="6"/>
      <c r="CA144" s="6"/>
      <c r="CB144" s="6"/>
      <c r="CC144" s="6"/>
      <c r="CD144" s="6"/>
      <c r="CE144" s="6"/>
      <c r="CF144" s="6"/>
      <c r="CG144" s="6"/>
      <c r="CH144" s="6"/>
      <c r="CI144" s="6"/>
      <c r="CJ144" s="6"/>
      <c r="CK144" s="6"/>
      <c r="CL144" s="6"/>
      <c r="CM144" s="6"/>
      <c r="CN144" s="6"/>
      <c r="CO144" s="6"/>
      <c r="CP144" s="6"/>
      <c r="CQ144" s="6"/>
      <c r="CR144" s="6"/>
      <c r="CS144" s="6"/>
      <c r="CT144" s="6"/>
      <c r="CU144" s="6"/>
      <c r="CV144" s="6"/>
      <c r="CW144" s="6"/>
      <c r="CX144" s="6"/>
      <c r="CY144" s="6"/>
      <c r="CZ144" s="6"/>
      <c r="DA144" s="6"/>
      <c r="DB144" s="6"/>
      <c r="DC144" s="6"/>
    </row>
    <row r="145" spans="1:107" ht="14.25" customHeight="1" x14ac:dyDescent="0.2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  <c r="BU145" s="6"/>
      <c r="BV145" s="6"/>
      <c r="BW145" s="6"/>
      <c r="BX145" s="6"/>
      <c r="BY145" s="6"/>
      <c r="BZ145" s="6"/>
      <c r="CA145" s="6"/>
      <c r="CB145" s="6"/>
      <c r="CC145" s="6"/>
      <c r="CD145" s="6"/>
      <c r="CE145" s="6"/>
      <c r="CF145" s="6"/>
      <c r="CG145" s="6"/>
      <c r="CH145" s="6"/>
      <c r="CI145" s="6"/>
      <c r="CJ145" s="6"/>
      <c r="CK145" s="6"/>
      <c r="CL145" s="6"/>
      <c r="CM145" s="6"/>
      <c r="CN145" s="6"/>
      <c r="CO145" s="6"/>
      <c r="CP145" s="6"/>
      <c r="CQ145" s="6"/>
      <c r="CR145" s="6"/>
      <c r="CS145" s="6"/>
      <c r="CT145" s="6"/>
      <c r="CU145" s="6"/>
      <c r="CV145" s="6"/>
      <c r="CW145" s="6"/>
      <c r="CX145" s="6"/>
      <c r="CY145" s="6"/>
      <c r="CZ145" s="6"/>
      <c r="DA145" s="6"/>
      <c r="DB145" s="6"/>
      <c r="DC145" s="6"/>
    </row>
    <row r="146" spans="1:107" ht="14.25" customHeight="1" x14ac:dyDescent="0.2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6"/>
      <c r="BT146" s="6"/>
      <c r="BU146" s="6"/>
      <c r="BV146" s="6"/>
      <c r="BW146" s="6"/>
      <c r="BX146" s="6"/>
      <c r="BY146" s="6"/>
      <c r="BZ146" s="6"/>
      <c r="CA146" s="6"/>
      <c r="CB146" s="6"/>
      <c r="CC146" s="6"/>
      <c r="CD146" s="6"/>
      <c r="CE146" s="6"/>
      <c r="CF146" s="6"/>
      <c r="CG146" s="6"/>
      <c r="CH146" s="6"/>
      <c r="CI146" s="6"/>
      <c r="CJ146" s="6"/>
      <c r="CK146" s="6"/>
      <c r="CL146" s="6"/>
      <c r="CM146" s="6"/>
      <c r="CN146" s="6"/>
      <c r="CO146" s="6"/>
      <c r="CP146" s="6"/>
      <c r="CQ146" s="6"/>
      <c r="CR146" s="6"/>
      <c r="CS146" s="6"/>
      <c r="CT146" s="6"/>
      <c r="CU146" s="6"/>
      <c r="CV146" s="6"/>
      <c r="CW146" s="6"/>
      <c r="CX146" s="6"/>
      <c r="CY146" s="6"/>
      <c r="CZ146" s="6"/>
      <c r="DA146" s="6"/>
      <c r="DB146" s="6"/>
      <c r="DC146" s="6"/>
    </row>
    <row r="147" spans="1:107" ht="14.25" customHeight="1" x14ac:dyDescent="0.2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  <c r="BN147" s="6"/>
      <c r="BO147" s="6"/>
      <c r="BP147" s="6"/>
      <c r="BQ147" s="6"/>
      <c r="BR147" s="6"/>
      <c r="BS147" s="6"/>
      <c r="BT147" s="6"/>
      <c r="BU147" s="6"/>
      <c r="BV147" s="6"/>
      <c r="BW147" s="6"/>
      <c r="BX147" s="6"/>
      <c r="BY147" s="6"/>
      <c r="BZ147" s="6"/>
      <c r="CA147" s="6"/>
      <c r="CB147" s="6"/>
      <c r="CC147" s="6"/>
      <c r="CD147" s="6"/>
      <c r="CE147" s="6"/>
      <c r="CF147" s="6"/>
      <c r="CG147" s="6"/>
      <c r="CH147" s="6"/>
      <c r="CI147" s="6"/>
      <c r="CJ147" s="6"/>
      <c r="CK147" s="6"/>
      <c r="CL147" s="6"/>
      <c r="CM147" s="6"/>
      <c r="CN147" s="6"/>
      <c r="CO147" s="6"/>
      <c r="CP147" s="6"/>
      <c r="CQ147" s="6"/>
      <c r="CR147" s="6"/>
      <c r="CS147" s="6"/>
      <c r="CT147" s="6"/>
      <c r="CU147" s="6"/>
      <c r="CV147" s="6"/>
      <c r="CW147" s="6"/>
      <c r="CX147" s="6"/>
      <c r="CY147" s="6"/>
      <c r="CZ147" s="6"/>
      <c r="DA147" s="6"/>
      <c r="DB147" s="6"/>
      <c r="DC147" s="6"/>
    </row>
    <row r="148" spans="1:107" ht="14.25" customHeight="1" x14ac:dyDescent="0.2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6"/>
      <c r="BT148" s="6"/>
      <c r="BU148" s="6"/>
      <c r="BV148" s="6"/>
      <c r="BW148" s="6"/>
      <c r="BX148" s="6"/>
      <c r="BY148" s="6"/>
      <c r="BZ148" s="6"/>
      <c r="CA148" s="6"/>
      <c r="CB148" s="6"/>
      <c r="CC148" s="6"/>
      <c r="CD148" s="6"/>
      <c r="CE148" s="6"/>
      <c r="CF148" s="6"/>
      <c r="CG148" s="6"/>
      <c r="CH148" s="6"/>
      <c r="CI148" s="6"/>
      <c r="CJ148" s="6"/>
      <c r="CK148" s="6"/>
      <c r="CL148" s="6"/>
      <c r="CM148" s="6"/>
      <c r="CN148" s="6"/>
      <c r="CO148" s="6"/>
      <c r="CP148" s="6"/>
      <c r="CQ148" s="6"/>
      <c r="CR148" s="6"/>
      <c r="CS148" s="6"/>
      <c r="CT148" s="6"/>
      <c r="CU148" s="6"/>
      <c r="CV148" s="6"/>
      <c r="CW148" s="6"/>
      <c r="CX148" s="6"/>
      <c r="CY148" s="6"/>
      <c r="CZ148" s="6"/>
      <c r="DA148" s="6"/>
      <c r="DB148" s="6"/>
      <c r="DC148" s="6"/>
    </row>
    <row r="149" spans="1:107" ht="14.25" customHeight="1" x14ac:dyDescent="0.2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  <c r="BP149" s="6"/>
      <c r="BQ149" s="6"/>
      <c r="BR149" s="6"/>
      <c r="BS149" s="6"/>
      <c r="BT149" s="6"/>
      <c r="BU149" s="6"/>
      <c r="BV149" s="6"/>
      <c r="BW149" s="6"/>
      <c r="BX149" s="6"/>
      <c r="BY149" s="6"/>
      <c r="BZ149" s="6"/>
      <c r="CA149" s="6"/>
      <c r="CB149" s="6"/>
      <c r="CC149" s="6"/>
      <c r="CD149" s="6"/>
      <c r="CE149" s="6"/>
      <c r="CF149" s="6"/>
      <c r="CG149" s="6"/>
      <c r="CH149" s="6"/>
      <c r="CI149" s="6"/>
      <c r="CJ149" s="6"/>
      <c r="CK149" s="6"/>
      <c r="CL149" s="6"/>
      <c r="CM149" s="6"/>
      <c r="CN149" s="6"/>
      <c r="CO149" s="6"/>
      <c r="CP149" s="6"/>
      <c r="CQ149" s="6"/>
      <c r="CR149" s="6"/>
      <c r="CS149" s="6"/>
      <c r="CT149" s="6"/>
      <c r="CU149" s="6"/>
      <c r="CV149" s="6"/>
      <c r="CW149" s="6"/>
      <c r="CX149" s="6"/>
      <c r="CY149" s="6"/>
      <c r="CZ149" s="6"/>
      <c r="DA149" s="6"/>
      <c r="DB149" s="6"/>
      <c r="DC149" s="6"/>
    </row>
    <row r="150" spans="1:107" ht="14.25" customHeight="1" x14ac:dyDescent="0.2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  <c r="BY150" s="6"/>
      <c r="BZ150" s="6"/>
      <c r="CA150" s="6"/>
      <c r="CB150" s="6"/>
      <c r="CC150" s="6"/>
      <c r="CD150" s="6"/>
      <c r="CE150" s="6"/>
      <c r="CF150" s="6"/>
      <c r="CG150" s="6"/>
      <c r="CH150" s="6"/>
      <c r="CI150" s="6"/>
      <c r="CJ150" s="6"/>
      <c r="CK150" s="6"/>
      <c r="CL150" s="6"/>
      <c r="CM150" s="6"/>
      <c r="CN150" s="6"/>
      <c r="CO150" s="6"/>
      <c r="CP150" s="6"/>
      <c r="CQ150" s="6"/>
      <c r="CR150" s="6"/>
      <c r="CS150" s="6"/>
      <c r="CT150" s="6"/>
      <c r="CU150" s="6"/>
      <c r="CV150" s="6"/>
      <c r="CW150" s="6"/>
      <c r="CX150" s="6"/>
      <c r="CY150" s="6"/>
      <c r="CZ150" s="6"/>
      <c r="DA150" s="6"/>
      <c r="DB150" s="6"/>
      <c r="DC150" s="6"/>
    </row>
    <row r="151" spans="1:107" ht="14.25" customHeight="1" x14ac:dyDescent="0.2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6"/>
      <c r="BO151" s="6"/>
      <c r="BP151" s="6"/>
      <c r="BQ151" s="6"/>
      <c r="BR151" s="6"/>
      <c r="BS151" s="6"/>
      <c r="BT151" s="6"/>
      <c r="BU151" s="6"/>
      <c r="BV151" s="6"/>
      <c r="BW151" s="6"/>
      <c r="BX151" s="6"/>
      <c r="BY151" s="6"/>
      <c r="BZ151" s="6"/>
      <c r="CA151" s="6"/>
      <c r="CB151" s="6"/>
      <c r="CC151" s="6"/>
      <c r="CD151" s="6"/>
      <c r="CE151" s="6"/>
      <c r="CF151" s="6"/>
      <c r="CG151" s="6"/>
      <c r="CH151" s="6"/>
      <c r="CI151" s="6"/>
      <c r="CJ151" s="6"/>
      <c r="CK151" s="6"/>
      <c r="CL151" s="6"/>
      <c r="CM151" s="6"/>
      <c r="CN151" s="6"/>
      <c r="CO151" s="6"/>
      <c r="CP151" s="6"/>
      <c r="CQ151" s="6"/>
      <c r="CR151" s="6"/>
      <c r="CS151" s="6"/>
      <c r="CT151" s="6"/>
      <c r="CU151" s="6"/>
      <c r="CV151" s="6"/>
      <c r="CW151" s="6"/>
      <c r="CX151" s="6"/>
      <c r="CY151" s="6"/>
      <c r="CZ151" s="6"/>
      <c r="DA151" s="6"/>
      <c r="DB151" s="6"/>
      <c r="DC151" s="6"/>
    </row>
    <row r="152" spans="1:107" ht="14.25" customHeight="1" x14ac:dyDescent="0.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6"/>
      <c r="BT152" s="6"/>
      <c r="BU152" s="6"/>
      <c r="BV152" s="6"/>
      <c r="BW152" s="6"/>
      <c r="BX152" s="6"/>
      <c r="BY152" s="6"/>
      <c r="BZ152" s="6"/>
      <c r="CA152" s="6"/>
      <c r="CB152" s="6"/>
      <c r="CC152" s="6"/>
      <c r="CD152" s="6"/>
      <c r="CE152" s="6"/>
      <c r="CF152" s="6"/>
      <c r="CG152" s="6"/>
      <c r="CH152" s="6"/>
      <c r="CI152" s="6"/>
      <c r="CJ152" s="6"/>
      <c r="CK152" s="6"/>
      <c r="CL152" s="6"/>
      <c r="CM152" s="6"/>
      <c r="CN152" s="6"/>
      <c r="CO152" s="6"/>
      <c r="CP152" s="6"/>
      <c r="CQ152" s="6"/>
      <c r="CR152" s="6"/>
      <c r="CS152" s="6"/>
      <c r="CT152" s="6"/>
      <c r="CU152" s="6"/>
      <c r="CV152" s="6"/>
      <c r="CW152" s="6"/>
      <c r="CX152" s="6"/>
      <c r="CY152" s="6"/>
      <c r="CZ152" s="6"/>
      <c r="DA152" s="6"/>
      <c r="DB152" s="6"/>
      <c r="DC152" s="6"/>
    </row>
    <row r="153" spans="1:107" ht="14.25" customHeight="1" x14ac:dyDescent="0.2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  <c r="BP153" s="6"/>
      <c r="BQ153" s="6"/>
      <c r="BR153" s="6"/>
      <c r="BS153" s="6"/>
      <c r="BT153" s="6"/>
      <c r="BU153" s="6"/>
      <c r="BV153" s="6"/>
      <c r="BW153" s="6"/>
      <c r="BX153" s="6"/>
      <c r="BY153" s="6"/>
      <c r="BZ153" s="6"/>
      <c r="CA153" s="6"/>
      <c r="CB153" s="6"/>
      <c r="CC153" s="6"/>
      <c r="CD153" s="6"/>
      <c r="CE153" s="6"/>
      <c r="CF153" s="6"/>
      <c r="CG153" s="6"/>
      <c r="CH153" s="6"/>
      <c r="CI153" s="6"/>
      <c r="CJ153" s="6"/>
      <c r="CK153" s="6"/>
      <c r="CL153" s="6"/>
      <c r="CM153" s="6"/>
      <c r="CN153" s="6"/>
      <c r="CO153" s="6"/>
      <c r="CP153" s="6"/>
      <c r="CQ153" s="6"/>
      <c r="CR153" s="6"/>
      <c r="CS153" s="6"/>
      <c r="CT153" s="6"/>
      <c r="CU153" s="6"/>
      <c r="CV153" s="6"/>
      <c r="CW153" s="6"/>
      <c r="CX153" s="6"/>
      <c r="CY153" s="6"/>
      <c r="CZ153" s="6"/>
      <c r="DA153" s="6"/>
      <c r="DB153" s="6"/>
      <c r="DC153" s="6"/>
    </row>
    <row r="154" spans="1:107" ht="14.25" customHeight="1" x14ac:dyDescent="0.2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  <c r="BP154" s="6"/>
      <c r="BQ154" s="6"/>
      <c r="BR154" s="6"/>
      <c r="BS154" s="6"/>
      <c r="BT154" s="6"/>
      <c r="BU154" s="6"/>
      <c r="BV154" s="6"/>
      <c r="BW154" s="6"/>
      <c r="BX154" s="6"/>
      <c r="BY154" s="6"/>
      <c r="BZ154" s="6"/>
      <c r="CA154" s="6"/>
      <c r="CB154" s="6"/>
      <c r="CC154" s="6"/>
      <c r="CD154" s="6"/>
      <c r="CE154" s="6"/>
      <c r="CF154" s="6"/>
      <c r="CG154" s="6"/>
      <c r="CH154" s="6"/>
      <c r="CI154" s="6"/>
      <c r="CJ154" s="6"/>
      <c r="CK154" s="6"/>
      <c r="CL154" s="6"/>
      <c r="CM154" s="6"/>
      <c r="CN154" s="6"/>
      <c r="CO154" s="6"/>
      <c r="CP154" s="6"/>
      <c r="CQ154" s="6"/>
      <c r="CR154" s="6"/>
      <c r="CS154" s="6"/>
      <c r="CT154" s="6"/>
      <c r="CU154" s="6"/>
      <c r="CV154" s="6"/>
      <c r="CW154" s="6"/>
      <c r="CX154" s="6"/>
      <c r="CY154" s="6"/>
      <c r="CZ154" s="6"/>
      <c r="DA154" s="6"/>
      <c r="DB154" s="6"/>
      <c r="DC154" s="6"/>
    </row>
    <row r="155" spans="1:107" ht="14.25" customHeight="1" x14ac:dyDescent="0.2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  <c r="BQ155" s="6"/>
      <c r="BR155" s="6"/>
      <c r="BS155" s="6"/>
      <c r="BT155" s="6"/>
      <c r="BU155" s="6"/>
      <c r="BV155" s="6"/>
      <c r="BW155" s="6"/>
      <c r="BX155" s="6"/>
      <c r="BY155" s="6"/>
      <c r="BZ155" s="6"/>
      <c r="CA155" s="6"/>
      <c r="CB155" s="6"/>
      <c r="CC155" s="6"/>
      <c r="CD155" s="6"/>
      <c r="CE155" s="6"/>
      <c r="CF155" s="6"/>
      <c r="CG155" s="6"/>
      <c r="CH155" s="6"/>
      <c r="CI155" s="6"/>
      <c r="CJ155" s="6"/>
      <c r="CK155" s="6"/>
      <c r="CL155" s="6"/>
      <c r="CM155" s="6"/>
      <c r="CN155" s="6"/>
      <c r="CO155" s="6"/>
      <c r="CP155" s="6"/>
      <c r="CQ155" s="6"/>
      <c r="CR155" s="6"/>
      <c r="CS155" s="6"/>
      <c r="CT155" s="6"/>
      <c r="CU155" s="6"/>
      <c r="CV155" s="6"/>
      <c r="CW155" s="6"/>
      <c r="CX155" s="6"/>
      <c r="CY155" s="6"/>
      <c r="CZ155" s="6"/>
      <c r="DA155" s="6"/>
      <c r="DB155" s="6"/>
      <c r="DC155" s="6"/>
    </row>
    <row r="156" spans="1:107" ht="14.25" customHeight="1" x14ac:dyDescent="0.2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  <c r="BQ156" s="6"/>
      <c r="BR156" s="6"/>
      <c r="BS156" s="6"/>
      <c r="BT156" s="6"/>
      <c r="BU156" s="6"/>
      <c r="BV156" s="6"/>
      <c r="BW156" s="6"/>
      <c r="BX156" s="6"/>
      <c r="BY156" s="6"/>
      <c r="BZ156" s="6"/>
      <c r="CA156" s="6"/>
      <c r="CB156" s="6"/>
      <c r="CC156" s="6"/>
      <c r="CD156" s="6"/>
      <c r="CE156" s="6"/>
      <c r="CF156" s="6"/>
      <c r="CG156" s="6"/>
      <c r="CH156" s="6"/>
      <c r="CI156" s="6"/>
      <c r="CJ156" s="6"/>
      <c r="CK156" s="6"/>
      <c r="CL156" s="6"/>
      <c r="CM156" s="6"/>
      <c r="CN156" s="6"/>
      <c r="CO156" s="6"/>
      <c r="CP156" s="6"/>
      <c r="CQ156" s="6"/>
      <c r="CR156" s="6"/>
      <c r="CS156" s="6"/>
      <c r="CT156" s="6"/>
      <c r="CU156" s="6"/>
      <c r="CV156" s="6"/>
      <c r="CW156" s="6"/>
      <c r="CX156" s="6"/>
      <c r="CY156" s="6"/>
      <c r="CZ156" s="6"/>
      <c r="DA156" s="6"/>
      <c r="DB156" s="6"/>
      <c r="DC156" s="6"/>
    </row>
    <row r="157" spans="1:107" ht="14.25" customHeight="1" x14ac:dyDescent="0.2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BN157" s="6"/>
      <c r="BO157" s="6"/>
      <c r="BP157" s="6"/>
      <c r="BQ157" s="6"/>
      <c r="BR157" s="6"/>
      <c r="BS157" s="6"/>
      <c r="BT157" s="6"/>
      <c r="BU157" s="6"/>
      <c r="BV157" s="6"/>
      <c r="BW157" s="6"/>
      <c r="BX157" s="6"/>
      <c r="BY157" s="6"/>
      <c r="BZ157" s="6"/>
      <c r="CA157" s="6"/>
      <c r="CB157" s="6"/>
      <c r="CC157" s="6"/>
      <c r="CD157" s="6"/>
      <c r="CE157" s="6"/>
      <c r="CF157" s="6"/>
      <c r="CG157" s="6"/>
      <c r="CH157" s="6"/>
      <c r="CI157" s="6"/>
      <c r="CJ157" s="6"/>
      <c r="CK157" s="6"/>
      <c r="CL157" s="6"/>
      <c r="CM157" s="6"/>
      <c r="CN157" s="6"/>
      <c r="CO157" s="6"/>
      <c r="CP157" s="6"/>
      <c r="CQ157" s="6"/>
      <c r="CR157" s="6"/>
      <c r="CS157" s="6"/>
      <c r="CT157" s="6"/>
      <c r="CU157" s="6"/>
      <c r="CV157" s="6"/>
      <c r="CW157" s="6"/>
      <c r="CX157" s="6"/>
      <c r="CY157" s="6"/>
      <c r="CZ157" s="6"/>
      <c r="DA157" s="6"/>
      <c r="DB157" s="6"/>
      <c r="DC157" s="6"/>
    </row>
    <row r="158" spans="1:107" ht="14.25" customHeight="1" x14ac:dyDescent="0.2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  <c r="BU158" s="6"/>
      <c r="BV158" s="6"/>
      <c r="BW158" s="6"/>
      <c r="BX158" s="6"/>
      <c r="BY158" s="6"/>
      <c r="BZ158" s="6"/>
      <c r="CA158" s="6"/>
      <c r="CB158" s="6"/>
      <c r="CC158" s="6"/>
      <c r="CD158" s="6"/>
      <c r="CE158" s="6"/>
      <c r="CF158" s="6"/>
      <c r="CG158" s="6"/>
      <c r="CH158" s="6"/>
      <c r="CI158" s="6"/>
      <c r="CJ158" s="6"/>
      <c r="CK158" s="6"/>
      <c r="CL158" s="6"/>
      <c r="CM158" s="6"/>
      <c r="CN158" s="6"/>
      <c r="CO158" s="6"/>
      <c r="CP158" s="6"/>
      <c r="CQ158" s="6"/>
      <c r="CR158" s="6"/>
      <c r="CS158" s="6"/>
      <c r="CT158" s="6"/>
      <c r="CU158" s="6"/>
      <c r="CV158" s="6"/>
      <c r="CW158" s="6"/>
      <c r="CX158" s="6"/>
      <c r="CY158" s="6"/>
      <c r="CZ158" s="6"/>
      <c r="DA158" s="6"/>
      <c r="DB158" s="6"/>
      <c r="DC158" s="6"/>
    </row>
    <row r="159" spans="1:107" ht="14.25" customHeight="1" x14ac:dyDescent="0.2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6"/>
      <c r="BT159" s="6"/>
      <c r="BU159" s="6"/>
      <c r="BV159" s="6"/>
      <c r="BW159" s="6"/>
      <c r="BX159" s="6"/>
      <c r="BY159" s="6"/>
      <c r="BZ159" s="6"/>
      <c r="CA159" s="6"/>
      <c r="CB159" s="6"/>
      <c r="CC159" s="6"/>
      <c r="CD159" s="6"/>
      <c r="CE159" s="6"/>
      <c r="CF159" s="6"/>
      <c r="CG159" s="6"/>
      <c r="CH159" s="6"/>
      <c r="CI159" s="6"/>
      <c r="CJ159" s="6"/>
      <c r="CK159" s="6"/>
      <c r="CL159" s="6"/>
      <c r="CM159" s="6"/>
      <c r="CN159" s="6"/>
      <c r="CO159" s="6"/>
      <c r="CP159" s="6"/>
      <c r="CQ159" s="6"/>
      <c r="CR159" s="6"/>
      <c r="CS159" s="6"/>
      <c r="CT159" s="6"/>
      <c r="CU159" s="6"/>
      <c r="CV159" s="6"/>
      <c r="CW159" s="6"/>
      <c r="CX159" s="6"/>
      <c r="CY159" s="6"/>
      <c r="CZ159" s="6"/>
      <c r="DA159" s="6"/>
      <c r="DB159" s="6"/>
      <c r="DC159" s="6"/>
    </row>
    <row r="160" spans="1:107" ht="14.25" customHeight="1" x14ac:dyDescent="0.2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6"/>
      <c r="BT160" s="6"/>
      <c r="BU160" s="6"/>
      <c r="BV160" s="6"/>
      <c r="BW160" s="6"/>
      <c r="BX160" s="6"/>
      <c r="BY160" s="6"/>
      <c r="BZ160" s="6"/>
      <c r="CA160" s="6"/>
      <c r="CB160" s="6"/>
      <c r="CC160" s="6"/>
      <c r="CD160" s="6"/>
      <c r="CE160" s="6"/>
      <c r="CF160" s="6"/>
      <c r="CG160" s="6"/>
      <c r="CH160" s="6"/>
      <c r="CI160" s="6"/>
      <c r="CJ160" s="6"/>
      <c r="CK160" s="6"/>
      <c r="CL160" s="6"/>
      <c r="CM160" s="6"/>
      <c r="CN160" s="6"/>
      <c r="CO160" s="6"/>
      <c r="CP160" s="6"/>
      <c r="CQ160" s="6"/>
      <c r="CR160" s="6"/>
      <c r="CS160" s="6"/>
      <c r="CT160" s="6"/>
      <c r="CU160" s="6"/>
      <c r="CV160" s="6"/>
      <c r="CW160" s="6"/>
      <c r="CX160" s="6"/>
      <c r="CY160" s="6"/>
      <c r="CZ160" s="6"/>
      <c r="DA160" s="6"/>
      <c r="DB160" s="6"/>
      <c r="DC160" s="6"/>
    </row>
    <row r="161" spans="1:107" ht="14.25" customHeight="1" x14ac:dyDescent="0.2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6"/>
      <c r="BO161" s="6"/>
      <c r="BP161" s="6"/>
      <c r="BQ161" s="6"/>
      <c r="BR161" s="6"/>
      <c r="BS161" s="6"/>
      <c r="BT161" s="6"/>
      <c r="BU161" s="6"/>
      <c r="BV161" s="6"/>
      <c r="BW161" s="6"/>
      <c r="BX161" s="6"/>
      <c r="BY161" s="6"/>
      <c r="BZ161" s="6"/>
      <c r="CA161" s="6"/>
      <c r="CB161" s="6"/>
      <c r="CC161" s="6"/>
      <c r="CD161" s="6"/>
      <c r="CE161" s="6"/>
      <c r="CF161" s="6"/>
      <c r="CG161" s="6"/>
      <c r="CH161" s="6"/>
      <c r="CI161" s="6"/>
      <c r="CJ161" s="6"/>
      <c r="CK161" s="6"/>
      <c r="CL161" s="6"/>
      <c r="CM161" s="6"/>
      <c r="CN161" s="6"/>
      <c r="CO161" s="6"/>
      <c r="CP161" s="6"/>
      <c r="CQ161" s="6"/>
      <c r="CR161" s="6"/>
      <c r="CS161" s="6"/>
      <c r="CT161" s="6"/>
      <c r="CU161" s="6"/>
      <c r="CV161" s="6"/>
      <c r="CW161" s="6"/>
      <c r="CX161" s="6"/>
      <c r="CY161" s="6"/>
      <c r="CZ161" s="6"/>
      <c r="DA161" s="6"/>
      <c r="DB161" s="6"/>
      <c r="DC161" s="6"/>
    </row>
    <row r="162" spans="1:107" ht="14.25" customHeight="1" x14ac:dyDescent="0.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  <c r="BO162" s="6"/>
      <c r="BP162" s="6"/>
      <c r="BQ162" s="6"/>
      <c r="BR162" s="6"/>
      <c r="BS162" s="6"/>
      <c r="BT162" s="6"/>
      <c r="BU162" s="6"/>
      <c r="BV162" s="6"/>
      <c r="BW162" s="6"/>
      <c r="BX162" s="6"/>
      <c r="BY162" s="6"/>
      <c r="BZ162" s="6"/>
      <c r="CA162" s="6"/>
      <c r="CB162" s="6"/>
      <c r="CC162" s="6"/>
      <c r="CD162" s="6"/>
      <c r="CE162" s="6"/>
      <c r="CF162" s="6"/>
      <c r="CG162" s="6"/>
      <c r="CH162" s="6"/>
      <c r="CI162" s="6"/>
      <c r="CJ162" s="6"/>
      <c r="CK162" s="6"/>
      <c r="CL162" s="6"/>
      <c r="CM162" s="6"/>
      <c r="CN162" s="6"/>
      <c r="CO162" s="6"/>
      <c r="CP162" s="6"/>
      <c r="CQ162" s="6"/>
      <c r="CR162" s="6"/>
      <c r="CS162" s="6"/>
      <c r="CT162" s="6"/>
      <c r="CU162" s="6"/>
      <c r="CV162" s="6"/>
      <c r="CW162" s="6"/>
      <c r="CX162" s="6"/>
      <c r="CY162" s="6"/>
      <c r="CZ162" s="6"/>
      <c r="DA162" s="6"/>
      <c r="DB162" s="6"/>
      <c r="DC162" s="6"/>
    </row>
    <row r="163" spans="1:107" ht="14.25" customHeight="1" x14ac:dyDescent="0.2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  <c r="BO163" s="6"/>
      <c r="BP163" s="6"/>
      <c r="BQ163" s="6"/>
      <c r="BR163" s="6"/>
      <c r="BS163" s="6"/>
      <c r="BT163" s="6"/>
      <c r="BU163" s="6"/>
      <c r="BV163" s="6"/>
      <c r="BW163" s="6"/>
      <c r="BX163" s="6"/>
      <c r="BY163" s="6"/>
      <c r="BZ163" s="6"/>
      <c r="CA163" s="6"/>
      <c r="CB163" s="6"/>
      <c r="CC163" s="6"/>
      <c r="CD163" s="6"/>
      <c r="CE163" s="6"/>
      <c r="CF163" s="6"/>
      <c r="CG163" s="6"/>
      <c r="CH163" s="6"/>
      <c r="CI163" s="6"/>
      <c r="CJ163" s="6"/>
      <c r="CK163" s="6"/>
      <c r="CL163" s="6"/>
      <c r="CM163" s="6"/>
      <c r="CN163" s="6"/>
      <c r="CO163" s="6"/>
      <c r="CP163" s="6"/>
      <c r="CQ163" s="6"/>
      <c r="CR163" s="6"/>
      <c r="CS163" s="6"/>
      <c r="CT163" s="6"/>
      <c r="CU163" s="6"/>
      <c r="CV163" s="6"/>
      <c r="CW163" s="6"/>
      <c r="CX163" s="6"/>
      <c r="CY163" s="6"/>
      <c r="CZ163" s="6"/>
      <c r="DA163" s="6"/>
      <c r="DB163" s="6"/>
      <c r="DC163" s="6"/>
    </row>
    <row r="164" spans="1:107" ht="14.25" customHeight="1" x14ac:dyDescent="0.2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  <c r="BS164" s="6"/>
      <c r="BT164" s="6"/>
      <c r="BU164" s="6"/>
      <c r="BV164" s="6"/>
      <c r="BW164" s="6"/>
      <c r="BX164" s="6"/>
      <c r="BY164" s="6"/>
      <c r="BZ164" s="6"/>
      <c r="CA164" s="6"/>
      <c r="CB164" s="6"/>
      <c r="CC164" s="6"/>
      <c r="CD164" s="6"/>
      <c r="CE164" s="6"/>
      <c r="CF164" s="6"/>
      <c r="CG164" s="6"/>
      <c r="CH164" s="6"/>
      <c r="CI164" s="6"/>
      <c r="CJ164" s="6"/>
      <c r="CK164" s="6"/>
      <c r="CL164" s="6"/>
      <c r="CM164" s="6"/>
      <c r="CN164" s="6"/>
      <c r="CO164" s="6"/>
      <c r="CP164" s="6"/>
      <c r="CQ164" s="6"/>
      <c r="CR164" s="6"/>
      <c r="CS164" s="6"/>
      <c r="CT164" s="6"/>
      <c r="CU164" s="6"/>
      <c r="CV164" s="6"/>
      <c r="CW164" s="6"/>
      <c r="CX164" s="6"/>
      <c r="CY164" s="6"/>
      <c r="CZ164" s="6"/>
      <c r="DA164" s="6"/>
      <c r="DB164" s="6"/>
      <c r="DC164" s="6"/>
    </row>
    <row r="165" spans="1:107" ht="14.25" customHeight="1" x14ac:dyDescent="0.2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/>
      <c r="BO165" s="6"/>
      <c r="BP165" s="6"/>
      <c r="BQ165" s="6"/>
      <c r="BR165" s="6"/>
      <c r="BS165" s="6"/>
      <c r="BT165" s="6"/>
      <c r="BU165" s="6"/>
      <c r="BV165" s="6"/>
      <c r="BW165" s="6"/>
      <c r="BX165" s="6"/>
      <c r="BY165" s="6"/>
      <c r="BZ165" s="6"/>
      <c r="CA165" s="6"/>
      <c r="CB165" s="6"/>
      <c r="CC165" s="6"/>
      <c r="CD165" s="6"/>
      <c r="CE165" s="6"/>
      <c r="CF165" s="6"/>
      <c r="CG165" s="6"/>
      <c r="CH165" s="6"/>
      <c r="CI165" s="6"/>
      <c r="CJ165" s="6"/>
      <c r="CK165" s="6"/>
      <c r="CL165" s="6"/>
      <c r="CM165" s="6"/>
      <c r="CN165" s="6"/>
      <c r="CO165" s="6"/>
      <c r="CP165" s="6"/>
      <c r="CQ165" s="6"/>
      <c r="CR165" s="6"/>
      <c r="CS165" s="6"/>
      <c r="CT165" s="6"/>
      <c r="CU165" s="6"/>
      <c r="CV165" s="6"/>
      <c r="CW165" s="6"/>
      <c r="CX165" s="6"/>
      <c r="CY165" s="6"/>
      <c r="CZ165" s="6"/>
      <c r="DA165" s="6"/>
      <c r="DB165" s="6"/>
      <c r="DC165" s="6"/>
    </row>
    <row r="166" spans="1:107" ht="14.25" customHeight="1" x14ac:dyDescent="0.2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6"/>
      <c r="BN166" s="6"/>
      <c r="BO166" s="6"/>
      <c r="BP166" s="6"/>
      <c r="BQ166" s="6"/>
      <c r="BR166" s="6"/>
      <c r="BS166" s="6"/>
      <c r="BT166" s="6"/>
      <c r="BU166" s="6"/>
      <c r="BV166" s="6"/>
      <c r="BW166" s="6"/>
      <c r="BX166" s="6"/>
      <c r="BY166" s="6"/>
      <c r="BZ166" s="6"/>
      <c r="CA166" s="6"/>
      <c r="CB166" s="6"/>
      <c r="CC166" s="6"/>
      <c r="CD166" s="6"/>
      <c r="CE166" s="6"/>
      <c r="CF166" s="6"/>
      <c r="CG166" s="6"/>
      <c r="CH166" s="6"/>
      <c r="CI166" s="6"/>
      <c r="CJ166" s="6"/>
      <c r="CK166" s="6"/>
      <c r="CL166" s="6"/>
      <c r="CM166" s="6"/>
      <c r="CN166" s="6"/>
      <c r="CO166" s="6"/>
      <c r="CP166" s="6"/>
      <c r="CQ166" s="6"/>
      <c r="CR166" s="6"/>
      <c r="CS166" s="6"/>
      <c r="CT166" s="6"/>
      <c r="CU166" s="6"/>
      <c r="CV166" s="6"/>
      <c r="CW166" s="6"/>
      <c r="CX166" s="6"/>
      <c r="CY166" s="6"/>
      <c r="CZ166" s="6"/>
      <c r="DA166" s="6"/>
      <c r="DB166" s="6"/>
      <c r="DC166" s="6"/>
    </row>
    <row r="167" spans="1:107" ht="14.25" customHeight="1" x14ac:dyDescent="0.2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  <c r="BN167" s="6"/>
      <c r="BO167" s="6"/>
      <c r="BP167" s="6"/>
      <c r="BQ167" s="6"/>
      <c r="BR167" s="6"/>
      <c r="BS167" s="6"/>
      <c r="BT167" s="6"/>
      <c r="BU167" s="6"/>
      <c r="BV167" s="6"/>
      <c r="BW167" s="6"/>
      <c r="BX167" s="6"/>
      <c r="BY167" s="6"/>
      <c r="BZ167" s="6"/>
      <c r="CA167" s="6"/>
      <c r="CB167" s="6"/>
      <c r="CC167" s="6"/>
      <c r="CD167" s="6"/>
      <c r="CE167" s="6"/>
      <c r="CF167" s="6"/>
      <c r="CG167" s="6"/>
      <c r="CH167" s="6"/>
      <c r="CI167" s="6"/>
      <c r="CJ167" s="6"/>
      <c r="CK167" s="6"/>
      <c r="CL167" s="6"/>
      <c r="CM167" s="6"/>
      <c r="CN167" s="6"/>
      <c r="CO167" s="6"/>
      <c r="CP167" s="6"/>
      <c r="CQ167" s="6"/>
      <c r="CR167" s="6"/>
      <c r="CS167" s="6"/>
      <c r="CT167" s="6"/>
      <c r="CU167" s="6"/>
      <c r="CV167" s="6"/>
      <c r="CW167" s="6"/>
      <c r="CX167" s="6"/>
      <c r="CY167" s="6"/>
      <c r="CZ167" s="6"/>
      <c r="DA167" s="6"/>
      <c r="DB167" s="6"/>
      <c r="DC167" s="6"/>
    </row>
    <row r="168" spans="1:107" ht="14.25" customHeight="1" x14ac:dyDescent="0.2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BN168" s="6"/>
      <c r="BO168" s="6"/>
      <c r="BP168" s="6"/>
      <c r="BQ168" s="6"/>
      <c r="BR168" s="6"/>
      <c r="BS168" s="6"/>
      <c r="BT168" s="6"/>
      <c r="BU168" s="6"/>
      <c r="BV168" s="6"/>
      <c r="BW168" s="6"/>
      <c r="BX168" s="6"/>
      <c r="BY168" s="6"/>
      <c r="BZ168" s="6"/>
      <c r="CA168" s="6"/>
      <c r="CB168" s="6"/>
      <c r="CC168" s="6"/>
      <c r="CD168" s="6"/>
      <c r="CE168" s="6"/>
      <c r="CF168" s="6"/>
      <c r="CG168" s="6"/>
      <c r="CH168" s="6"/>
      <c r="CI168" s="6"/>
      <c r="CJ168" s="6"/>
      <c r="CK168" s="6"/>
      <c r="CL168" s="6"/>
      <c r="CM168" s="6"/>
      <c r="CN168" s="6"/>
      <c r="CO168" s="6"/>
      <c r="CP168" s="6"/>
      <c r="CQ168" s="6"/>
      <c r="CR168" s="6"/>
      <c r="CS168" s="6"/>
      <c r="CT168" s="6"/>
      <c r="CU168" s="6"/>
      <c r="CV168" s="6"/>
      <c r="CW168" s="6"/>
      <c r="CX168" s="6"/>
      <c r="CY168" s="6"/>
      <c r="CZ168" s="6"/>
      <c r="DA168" s="6"/>
      <c r="DB168" s="6"/>
      <c r="DC168" s="6"/>
    </row>
    <row r="169" spans="1:107" ht="14.25" customHeight="1" x14ac:dyDescent="0.2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  <c r="BO169" s="6"/>
      <c r="BP169" s="6"/>
      <c r="BQ169" s="6"/>
      <c r="BR169" s="6"/>
      <c r="BS169" s="6"/>
      <c r="BT169" s="6"/>
      <c r="BU169" s="6"/>
      <c r="BV169" s="6"/>
      <c r="BW169" s="6"/>
      <c r="BX169" s="6"/>
      <c r="BY169" s="6"/>
      <c r="BZ169" s="6"/>
      <c r="CA169" s="6"/>
      <c r="CB169" s="6"/>
      <c r="CC169" s="6"/>
      <c r="CD169" s="6"/>
      <c r="CE169" s="6"/>
      <c r="CF169" s="6"/>
      <c r="CG169" s="6"/>
      <c r="CH169" s="6"/>
      <c r="CI169" s="6"/>
      <c r="CJ169" s="6"/>
      <c r="CK169" s="6"/>
      <c r="CL169" s="6"/>
      <c r="CM169" s="6"/>
      <c r="CN169" s="6"/>
      <c r="CO169" s="6"/>
      <c r="CP169" s="6"/>
      <c r="CQ169" s="6"/>
      <c r="CR169" s="6"/>
      <c r="CS169" s="6"/>
      <c r="CT169" s="6"/>
      <c r="CU169" s="6"/>
      <c r="CV169" s="6"/>
      <c r="CW169" s="6"/>
      <c r="CX169" s="6"/>
      <c r="CY169" s="6"/>
      <c r="CZ169" s="6"/>
      <c r="DA169" s="6"/>
      <c r="DB169" s="6"/>
      <c r="DC169" s="6"/>
    </row>
    <row r="170" spans="1:107" ht="14.25" customHeight="1" x14ac:dyDescent="0.2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  <c r="BP170" s="6"/>
      <c r="BQ170" s="6"/>
      <c r="BR170" s="6"/>
      <c r="BS170" s="6"/>
      <c r="BT170" s="6"/>
      <c r="BU170" s="6"/>
      <c r="BV170" s="6"/>
      <c r="BW170" s="6"/>
      <c r="BX170" s="6"/>
      <c r="BY170" s="6"/>
      <c r="BZ170" s="6"/>
      <c r="CA170" s="6"/>
      <c r="CB170" s="6"/>
      <c r="CC170" s="6"/>
      <c r="CD170" s="6"/>
      <c r="CE170" s="6"/>
      <c r="CF170" s="6"/>
      <c r="CG170" s="6"/>
      <c r="CH170" s="6"/>
      <c r="CI170" s="6"/>
      <c r="CJ170" s="6"/>
      <c r="CK170" s="6"/>
      <c r="CL170" s="6"/>
      <c r="CM170" s="6"/>
      <c r="CN170" s="6"/>
      <c r="CO170" s="6"/>
      <c r="CP170" s="6"/>
      <c r="CQ170" s="6"/>
      <c r="CR170" s="6"/>
      <c r="CS170" s="6"/>
      <c r="CT170" s="6"/>
      <c r="CU170" s="6"/>
      <c r="CV170" s="6"/>
      <c r="CW170" s="6"/>
      <c r="CX170" s="6"/>
      <c r="CY170" s="6"/>
      <c r="CZ170" s="6"/>
      <c r="DA170" s="6"/>
      <c r="DB170" s="6"/>
      <c r="DC170" s="6"/>
    </row>
    <row r="171" spans="1:107" ht="14.25" customHeight="1" x14ac:dyDescent="0.2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  <c r="BM171" s="6"/>
      <c r="BN171" s="6"/>
      <c r="BO171" s="6"/>
      <c r="BP171" s="6"/>
      <c r="BQ171" s="6"/>
      <c r="BR171" s="6"/>
      <c r="BS171" s="6"/>
      <c r="BT171" s="6"/>
      <c r="BU171" s="6"/>
      <c r="BV171" s="6"/>
      <c r="BW171" s="6"/>
      <c r="BX171" s="6"/>
      <c r="BY171" s="6"/>
      <c r="BZ171" s="6"/>
      <c r="CA171" s="6"/>
      <c r="CB171" s="6"/>
      <c r="CC171" s="6"/>
      <c r="CD171" s="6"/>
      <c r="CE171" s="6"/>
      <c r="CF171" s="6"/>
      <c r="CG171" s="6"/>
      <c r="CH171" s="6"/>
      <c r="CI171" s="6"/>
      <c r="CJ171" s="6"/>
      <c r="CK171" s="6"/>
      <c r="CL171" s="6"/>
      <c r="CM171" s="6"/>
      <c r="CN171" s="6"/>
      <c r="CO171" s="6"/>
      <c r="CP171" s="6"/>
      <c r="CQ171" s="6"/>
      <c r="CR171" s="6"/>
      <c r="CS171" s="6"/>
      <c r="CT171" s="6"/>
      <c r="CU171" s="6"/>
      <c r="CV171" s="6"/>
      <c r="CW171" s="6"/>
      <c r="CX171" s="6"/>
      <c r="CY171" s="6"/>
      <c r="CZ171" s="6"/>
      <c r="DA171" s="6"/>
      <c r="DB171" s="6"/>
      <c r="DC171" s="6"/>
    </row>
    <row r="172" spans="1:107" ht="14.25" customHeight="1" x14ac:dyDescent="0.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/>
      <c r="BM172" s="6"/>
      <c r="BN172" s="6"/>
      <c r="BO172" s="6"/>
      <c r="BP172" s="6"/>
      <c r="BQ172" s="6"/>
      <c r="BR172" s="6"/>
      <c r="BS172" s="6"/>
      <c r="BT172" s="6"/>
      <c r="BU172" s="6"/>
      <c r="BV172" s="6"/>
      <c r="BW172" s="6"/>
      <c r="BX172" s="6"/>
      <c r="BY172" s="6"/>
      <c r="BZ172" s="6"/>
      <c r="CA172" s="6"/>
      <c r="CB172" s="6"/>
      <c r="CC172" s="6"/>
      <c r="CD172" s="6"/>
      <c r="CE172" s="6"/>
      <c r="CF172" s="6"/>
      <c r="CG172" s="6"/>
      <c r="CH172" s="6"/>
      <c r="CI172" s="6"/>
      <c r="CJ172" s="6"/>
      <c r="CK172" s="6"/>
      <c r="CL172" s="6"/>
      <c r="CM172" s="6"/>
      <c r="CN172" s="6"/>
      <c r="CO172" s="6"/>
      <c r="CP172" s="6"/>
      <c r="CQ172" s="6"/>
      <c r="CR172" s="6"/>
      <c r="CS172" s="6"/>
      <c r="CT172" s="6"/>
      <c r="CU172" s="6"/>
      <c r="CV172" s="6"/>
      <c r="CW172" s="6"/>
      <c r="CX172" s="6"/>
      <c r="CY172" s="6"/>
      <c r="CZ172" s="6"/>
      <c r="DA172" s="6"/>
      <c r="DB172" s="6"/>
      <c r="DC172" s="6"/>
    </row>
    <row r="173" spans="1:107" ht="14.25" customHeight="1" x14ac:dyDescent="0.2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  <c r="BM173" s="6"/>
      <c r="BN173" s="6"/>
      <c r="BO173" s="6"/>
      <c r="BP173" s="6"/>
      <c r="BQ173" s="6"/>
      <c r="BR173" s="6"/>
      <c r="BS173" s="6"/>
      <c r="BT173" s="6"/>
      <c r="BU173" s="6"/>
      <c r="BV173" s="6"/>
      <c r="BW173" s="6"/>
      <c r="BX173" s="6"/>
      <c r="BY173" s="6"/>
      <c r="BZ173" s="6"/>
      <c r="CA173" s="6"/>
      <c r="CB173" s="6"/>
      <c r="CC173" s="6"/>
      <c r="CD173" s="6"/>
      <c r="CE173" s="6"/>
      <c r="CF173" s="6"/>
      <c r="CG173" s="6"/>
      <c r="CH173" s="6"/>
      <c r="CI173" s="6"/>
      <c r="CJ173" s="6"/>
      <c r="CK173" s="6"/>
      <c r="CL173" s="6"/>
      <c r="CM173" s="6"/>
      <c r="CN173" s="6"/>
      <c r="CO173" s="6"/>
      <c r="CP173" s="6"/>
      <c r="CQ173" s="6"/>
      <c r="CR173" s="6"/>
      <c r="CS173" s="6"/>
      <c r="CT173" s="6"/>
      <c r="CU173" s="6"/>
      <c r="CV173" s="6"/>
      <c r="CW173" s="6"/>
      <c r="CX173" s="6"/>
      <c r="CY173" s="6"/>
      <c r="CZ173" s="6"/>
      <c r="DA173" s="6"/>
      <c r="DB173" s="6"/>
      <c r="DC173" s="6"/>
    </row>
    <row r="174" spans="1:107" ht="14.25" customHeight="1" x14ac:dyDescent="0.2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  <c r="BM174" s="6"/>
      <c r="BN174" s="6"/>
      <c r="BO174" s="6"/>
      <c r="BP174" s="6"/>
      <c r="BQ174" s="6"/>
      <c r="BR174" s="6"/>
      <c r="BS174" s="6"/>
      <c r="BT174" s="6"/>
      <c r="BU174" s="6"/>
      <c r="BV174" s="6"/>
      <c r="BW174" s="6"/>
      <c r="BX174" s="6"/>
      <c r="BY174" s="6"/>
      <c r="BZ174" s="6"/>
      <c r="CA174" s="6"/>
      <c r="CB174" s="6"/>
      <c r="CC174" s="6"/>
      <c r="CD174" s="6"/>
      <c r="CE174" s="6"/>
      <c r="CF174" s="6"/>
      <c r="CG174" s="6"/>
      <c r="CH174" s="6"/>
      <c r="CI174" s="6"/>
      <c r="CJ174" s="6"/>
      <c r="CK174" s="6"/>
      <c r="CL174" s="6"/>
      <c r="CM174" s="6"/>
      <c r="CN174" s="6"/>
      <c r="CO174" s="6"/>
      <c r="CP174" s="6"/>
      <c r="CQ174" s="6"/>
      <c r="CR174" s="6"/>
      <c r="CS174" s="6"/>
      <c r="CT174" s="6"/>
      <c r="CU174" s="6"/>
      <c r="CV174" s="6"/>
      <c r="CW174" s="6"/>
      <c r="CX174" s="6"/>
      <c r="CY174" s="6"/>
      <c r="CZ174" s="6"/>
      <c r="DA174" s="6"/>
      <c r="DB174" s="6"/>
      <c r="DC174" s="6"/>
    </row>
    <row r="175" spans="1:107" ht="14.25" customHeight="1" x14ac:dyDescent="0.2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/>
      <c r="BM175" s="6"/>
      <c r="BN175" s="6"/>
      <c r="BO175" s="6"/>
      <c r="BP175" s="6"/>
      <c r="BQ175" s="6"/>
      <c r="BR175" s="6"/>
      <c r="BS175" s="6"/>
      <c r="BT175" s="6"/>
      <c r="BU175" s="6"/>
      <c r="BV175" s="6"/>
      <c r="BW175" s="6"/>
      <c r="BX175" s="6"/>
      <c r="BY175" s="6"/>
      <c r="BZ175" s="6"/>
      <c r="CA175" s="6"/>
      <c r="CB175" s="6"/>
      <c r="CC175" s="6"/>
      <c r="CD175" s="6"/>
      <c r="CE175" s="6"/>
      <c r="CF175" s="6"/>
      <c r="CG175" s="6"/>
      <c r="CH175" s="6"/>
      <c r="CI175" s="6"/>
      <c r="CJ175" s="6"/>
      <c r="CK175" s="6"/>
      <c r="CL175" s="6"/>
      <c r="CM175" s="6"/>
      <c r="CN175" s="6"/>
      <c r="CO175" s="6"/>
      <c r="CP175" s="6"/>
      <c r="CQ175" s="6"/>
      <c r="CR175" s="6"/>
      <c r="CS175" s="6"/>
      <c r="CT175" s="6"/>
      <c r="CU175" s="6"/>
      <c r="CV175" s="6"/>
      <c r="CW175" s="6"/>
      <c r="CX175" s="6"/>
      <c r="CY175" s="6"/>
      <c r="CZ175" s="6"/>
      <c r="DA175" s="6"/>
      <c r="DB175" s="6"/>
      <c r="DC175" s="6"/>
    </row>
    <row r="176" spans="1:107" ht="14.25" customHeight="1" x14ac:dyDescent="0.2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  <c r="BM176" s="6"/>
      <c r="BN176" s="6"/>
      <c r="BO176" s="6"/>
      <c r="BP176" s="6"/>
      <c r="BQ176" s="6"/>
      <c r="BR176" s="6"/>
      <c r="BS176" s="6"/>
      <c r="BT176" s="6"/>
      <c r="BU176" s="6"/>
      <c r="BV176" s="6"/>
      <c r="BW176" s="6"/>
      <c r="BX176" s="6"/>
      <c r="BY176" s="6"/>
      <c r="BZ176" s="6"/>
      <c r="CA176" s="6"/>
      <c r="CB176" s="6"/>
      <c r="CC176" s="6"/>
      <c r="CD176" s="6"/>
      <c r="CE176" s="6"/>
      <c r="CF176" s="6"/>
      <c r="CG176" s="6"/>
      <c r="CH176" s="6"/>
      <c r="CI176" s="6"/>
      <c r="CJ176" s="6"/>
      <c r="CK176" s="6"/>
      <c r="CL176" s="6"/>
      <c r="CM176" s="6"/>
      <c r="CN176" s="6"/>
      <c r="CO176" s="6"/>
      <c r="CP176" s="6"/>
      <c r="CQ176" s="6"/>
      <c r="CR176" s="6"/>
      <c r="CS176" s="6"/>
      <c r="CT176" s="6"/>
      <c r="CU176" s="6"/>
      <c r="CV176" s="6"/>
      <c r="CW176" s="6"/>
      <c r="CX176" s="6"/>
      <c r="CY176" s="6"/>
      <c r="CZ176" s="6"/>
      <c r="DA176" s="6"/>
      <c r="DB176" s="6"/>
      <c r="DC176" s="6"/>
    </row>
    <row r="177" spans="1:107" ht="14.25" customHeight="1" x14ac:dyDescent="0.2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  <c r="BP177" s="6"/>
      <c r="BQ177" s="6"/>
      <c r="BR177" s="6"/>
      <c r="BS177" s="6"/>
      <c r="BT177" s="6"/>
      <c r="BU177" s="6"/>
      <c r="BV177" s="6"/>
      <c r="BW177" s="6"/>
      <c r="BX177" s="6"/>
      <c r="BY177" s="6"/>
      <c r="BZ177" s="6"/>
      <c r="CA177" s="6"/>
      <c r="CB177" s="6"/>
      <c r="CC177" s="6"/>
      <c r="CD177" s="6"/>
      <c r="CE177" s="6"/>
      <c r="CF177" s="6"/>
      <c r="CG177" s="6"/>
      <c r="CH177" s="6"/>
      <c r="CI177" s="6"/>
      <c r="CJ177" s="6"/>
      <c r="CK177" s="6"/>
      <c r="CL177" s="6"/>
      <c r="CM177" s="6"/>
      <c r="CN177" s="6"/>
      <c r="CO177" s="6"/>
      <c r="CP177" s="6"/>
      <c r="CQ177" s="6"/>
      <c r="CR177" s="6"/>
      <c r="CS177" s="6"/>
      <c r="CT177" s="6"/>
      <c r="CU177" s="6"/>
      <c r="CV177" s="6"/>
      <c r="CW177" s="6"/>
      <c r="CX177" s="6"/>
      <c r="CY177" s="6"/>
      <c r="CZ177" s="6"/>
      <c r="DA177" s="6"/>
      <c r="DB177" s="6"/>
      <c r="DC177" s="6"/>
    </row>
    <row r="178" spans="1:107" ht="14.25" customHeight="1" x14ac:dyDescent="0.2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  <c r="BM178" s="6"/>
      <c r="BN178" s="6"/>
      <c r="BO178" s="6"/>
      <c r="BP178" s="6"/>
      <c r="BQ178" s="6"/>
      <c r="BR178" s="6"/>
      <c r="BS178" s="6"/>
      <c r="BT178" s="6"/>
      <c r="BU178" s="6"/>
      <c r="BV178" s="6"/>
      <c r="BW178" s="6"/>
      <c r="BX178" s="6"/>
      <c r="BY178" s="6"/>
      <c r="BZ178" s="6"/>
      <c r="CA178" s="6"/>
      <c r="CB178" s="6"/>
      <c r="CC178" s="6"/>
      <c r="CD178" s="6"/>
      <c r="CE178" s="6"/>
      <c r="CF178" s="6"/>
      <c r="CG178" s="6"/>
      <c r="CH178" s="6"/>
      <c r="CI178" s="6"/>
      <c r="CJ178" s="6"/>
      <c r="CK178" s="6"/>
      <c r="CL178" s="6"/>
      <c r="CM178" s="6"/>
      <c r="CN178" s="6"/>
      <c r="CO178" s="6"/>
      <c r="CP178" s="6"/>
      <c r="CQ178" s="6"/>
      <c r="CR178" s="6"/>
      <c r="CS178" s="6"/>
      <c r="CT178" s="6"/>
      <c r="CU178" s="6"/>
      <c r="CV178" s="6"/>
      <c r="CW178" s="6"/>
      <c r="CX178" s="6"/>
      <c r="CY178" s="6"/>
      <c r="CZ178" s="6"/>
      <c r="DA178" s="6"/>
      <c r="DB178" s="6"/>
      <c r="DC178" s="6"/>
    </row>
    <row r="179" spans="1:107" ht="14.25" customHeight="1" x14ac:dyDescent="0.2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  <c r="BL179" s="6"/>
      <c r="BM179" s="6"/>
      <c r="BN179" s="6"/>
      <c r="BO179" s="6"/>
      <c r="BP179" s="6"/>
      <c r="BQ179" s="6"/>
      <c r="BR179" s="6"/>
      <c r="BS179" s="6"/>
      <c r="BT179" s="6"/>
      <c r="BU179" s="6"/>
      <c r="BV179" s="6"/>
      <c r="BW179" s="6"/>
      <c r="BX179" s="6"/>
      <c r="BY179" s="6"/>
      <c r="BZ179" s="6"/>
      <c r="CA179" s="6"/>
      <c r="CB179" s="6"/>
      <c r="CC179" s="6"/>
      <c r="CD179" s="6"/>
      <c r="CE179" s="6"/>
      <c r="CF179" s="6"/>
      <c r="CG179" s="6"/>
      <c r="CH179" s="6"/>
      <c r="CI179" s="6"/>
      <c r="CJ179" s="6"/>
      <c r="CK179" s="6"/>
      <c r="CL179" s="6"/>
      <c r="CM179" s="6"/>
      <c r="CN179" s="6"/>
      <c r="CO179" s="6"/>
      <c r="CP179" s="6"/>
      <c r="CQ179" s="6"/>
      <c r="CR179" s="6"/>
      <c r="CS179" s="6"/>
      <c r="CT179" s="6"/>
      <c r="CU179" s="6"/>
      <c r="CV179" s="6"/>
      <c r="CW179" s="6"/>
      <c r="CX179" s="6"/>
      <c r="CY179" s="6"/>
      <c r="CZ179" s="6"/>
      <c r="DA179" s="6"/>
      <c r="DB179" s="6"/>
      <c r="DC179" s="6"/>
    </row>
    <row r="180" spans="1:107" ht="14.25" customHeight="1" x14ac:dyDescent="0.2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/>
      <c r="BM180" s="6"/>
      <c r="BN180" s="6"/>
      <c r="BO180" s="6"/>
      <c r="BP180" s="6"/>
      <c r="BQ180" s="6"/>
      <c r="BR180" s="6"/>
      <c r="BS180" s="6"/>
      <c r="BT180" s="6"/>
      <c r="BU180" s="6"/>
      <c r="BV180" s="6"/>
      <c r="BW180" s="6"/>
      <c r="BX180" s="6"/>
      <c r="BY180" s="6"/>
      <c r="BZ180" s="6"/>
      <c r="CA180" s="6"/>
      <c r="CB180" s="6"/>
      <c r="CC180" s="6"/>
      <c r="CD180" s="6"/>
      <c r="CE180" s="6"/>
      <c r="CF180" s="6"/>
      <c r="CG180" s="6"/>
      <c r="CH180" s="6"/>
      <c r="CI180" s="6"/>
      <c r="CJ180" s="6"/>
      <c r="CK180" s="6"/>
      <c r="CL180" s="6"/>
      <c r="CM180" s="6"/>
      <c r="CN180" s="6"/>
      <c r="CO180" s="6"/>
      <c r="CP180" s="6"/>
      <c r="CQ180" s="6"/>
      <c r="CR180" s="6"/>
      <c r="CS180" s="6"/>
      <c r="CT180" s="6"/>
      <c r="CU180" s="6"/>
      <c r="CV180" s="6"/>
      <c r="CW180" s="6"/>
      <c r="CX180" s="6"/>
      <c r="CY180" s="6"/>
      <c r="CZ180" s="6"/>
      <c r="DA180" s="6"/>
      <c r="DB180" s="6"/>
      <c r="DC180" s="6"/>
    </row>
    <row r="181" spans="1:107" ht="14.25" customHeight="1" x14ac:dyDescent="0.2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6"/>
      <c r="BL181" s="6"/>
      <c r="BM181" s="6"/>
      <c r="BN181" s="6"/>
      <c r="BO181" s="6"/>
      <c r="BP181" s="6"/>
      <c r="BQ181" s="6"/>
      <c r="BR181" s="6"/>
      <c r="BS181" s="6"/>
      <c r="BT181" s="6"/>
      <c r="BU181" s="6"/>
      <c r="BV181" s="6"/>
      <c r="BW181" s="6"/>
      <c r="BX181" s="6"/>
      <c r="BY181" s="6"/>
      <c r="BZ181" s="6"/>
      <c r="CA181" s="6"/>
      <c r="CB181" s="6"/>
      <c r="CC181" s="6"/>
      <c r="CD181" s="6"/>
      <c r="CE181" s="6"/>
      <c r="CF181" s="6"/>
      <c r="CG181" s="6"/>
      <c r="CH181" s="6"/>
      <c r="CI181" s="6"/>
      <c r="CJ181" s="6"/>
      <c r="CK181" s="6"/>
      <c r="CL181" s="6"/>
      <c r="CM181" s="6"/>
      <c r="CN181" s="6"/>
      <c r="CO181" s="6"/>
      <c r="CP181" s="6"/>
      <c r="CQ181" s="6"/>
      <c r="CR181" s="6"/>
      <c r="CS181" s="6"/>
      <c r="CT181" s="6"/>
      <c r="CU181" s="6"/>
      <c r="CV181" s="6"/>
      <c r="CW181" s="6"/>
      <c r="CX181" s="6"/>
      <c r="CY181" s="6"/>
      <c r="CZ181" s="6"/>
      <c r="DA181" s="6"/>
      <c r="DB181" s="6"/>
      <c r="DC181" s="6"/>
    </row>
    <row r="182" spans="1:107" ht="14.25" customHeight="1" x14ac:dyDescent="0.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  <c r="BL182" s="6"/>
      <c r="BM182" s="6"/>
      <c r="BN182" s="6"/>
      <c r="BO182" s="6"/>
      <c r="BP182" s="6"/>
      <c r="BQ182" s="6"/>
      <c r="BR182" s="6"/>
      <c r="BS182" s="6"/>
      <c r="BT182" s="6"/>
      <c r="BU182" s="6"/>
      <c r="BV182" s="6"/>
      <c r="BW182" s="6"/>
      <c r="BX182" s="6"/>
      <c r="BY182" s="6"/>
      <c r="BZ182" s="6"/>
      <c r="CA182" s="6"/>
      <c r="CB182" s="6"/>
      <c r="CC182" s="6"/>
      <c r="CD182" s="6"/>
      <c r="CE182" s="6"/>
      <c r="CF182" s="6"/>
      <c r="CG182" s="6"/>
      <c r="CH182" s="6"/>
      <c r="CI182" s="6"/>
      <c r="CJ182" s="6"/>
      <c r="CK182" s="6"/>
      <c r="CL182" s="6"/>
      <c r="CM182" s="6"/>
      <c r="CN182" s="6"/>
      <c r="CO182" s="6"/>
      <c r="CP182" s="6"/>
      <c r="CQ182" s="6"/>
      <c r="CR182" s="6"/>
      <c r="CS182" s="6"/>
      <c r="CT182" s="6"/>
      <c r="CU182" s="6"/>
      <c r="CV182" s="6"/>
      <c r="CW182" s="6"/>
      <c r="CX182" s="6"/>
      <c r="CY182" s="6"/>
      <c r="CZ182" s="6"/>
      <c r="DA182" s="6"/>
      <c r="DB182" s="6"/>
      <c r="DC182" s="6"/>
    </row>
    <row r="183" spans="1:107" ht="14.25" customHeight="1" x14ac:dyDescent="0.2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  <c r="BM183" s="6"/>
      <c r="BN183" s="6"/>
      <c r="BO183" s="6"/>
      <c r="BP183" s="6"/>
      <c r="BQ183" s="6"/>
      <c r="BR183" s="6"/>
      <c r="BS183" s="6"/>
      <c r="BT183" s="6"/>
      <c r="BU183" s="6"/>
      <c r="BV183" s="6"/>
      <c r="BW183" s="6"/>
      <c r="BX183" s="6"/>
      <c r="BY183" s="6"/>
      <c r="BZ183" s="6"/>
      <c r="CA183" s="6"/>
      <c r="CB183" s="6"/>
      <c r="CC183" s="6"/>
      <c r="CD183" s="6"/>
      <c r="CE183" s="6"/>
      <c r="CF183" s="6"/>
      <c r="CG183" s="6"/>
      <c r="CH183" s="6"/>
      <c r="CI183" s="6"/>
      <c r="CJ183" s="6"/>
      <c r="CK183" s="6"/>
      <c r="CL183" s="6"/>
      <c r="CM183" s="6"/>
      <c r="CN183" s="6"/>
      <c r="CO183" s="6"/>
      <c r="CP183" s="6"/>
      <c r="CQ183" s="6"/>
      <c r="CR183" s="6"/>
      <c r="CS183" s="6"/>
      <c r="CT183" s="6"/>
      <c r="CU183" s="6"/>
      <c r="CV183" s="6"/>
      <c r="CW183" s="6"/>
      <c r="CX183" s="6"/>
      <c r="CY183" s="6"/>
      <c r="CZ183" s="6"/>
      <c r="DA183" s="6"/>
      <c r="DB183" s="6"/>
      <c r="DC183" s="6"/>
    </row>
    <row r="184" spans="1:107" ht="14.25" customHeight="1" x14ac:dyDescent="0.2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6"/>
      <c r="BN184" s="6"/>
      <c r="BO184" s="6"/>
      <c r="BP184" s="6"/>
      <c r="BQ184" s="6"/>
      <c r="BR184" s="6"/>
      <c r="BS184" s="6"/>
      <c r="BT184" s="6"/>
      <c r="BU184" s="6"/>
      <c r="BV184" s="6"/>
      <c r="BW184" s="6"/>
      <c r="BX184" s="6"/>
      <c r="BY184" s="6"/>
      <c r="BZ184" s="6"/>
      <c r="CA184" s="6"/>
      <c r="CB184" s="6"/>
      <c r="CC184" s="6"/>
      <c r="CD184" s="6"/>
      <c r="CE184" s="6"/>
      <c r="CF184" s="6"/>
      <c r="CG184" s="6"/>
      <c r="CH184" s="6"/>
      <c r="CI184" s="6"/>
      <c r="CJ184" s="6"/>
      <c r="CK184" s="6"/>
      <c r="CL184" s="6"/>
      <c r="CM184" s="6"/>
      <c r="CN184" s="6"/>
      <c r="CO184" s="6"/>
      <c r="CP184" s="6"/>
      <c r="CQ184" s="6"/>
      <c r="CR184" s="6"/>
      <c r="CS184" s="6"/>
      <c r="CT184" s="6"/>
      <c r="CU184" s="6"/>
      <c r="CV184" s="6"/>
      <c r="CW184" s="6"/>
      <c r="CX184" s="6"/>
      <c r="CY184" s="6"/>
      <c r="CZ184" s="6"/>
      <c r="DA184" s="6"/>
      <c r="DB184" s="6"/>
      <c r="DC184" s="6"/>
    </row>
    <row r="185" spans="1:107" ht="14.25" customHeight="1" x14ac:dyDescent="0.2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  <c r="BL185" s="6"/>
      <c r="BM185" s="6"/>
      <c r="BN185" s="6"/>
      <c r="BO185" s="6"/>
      <c r="BP185" s="6"/>
      <c r="BQ185" s="6"/>
      <c r="BR185" s="6"/>
      <c r="BS185" s="6"/>
      <c r="BT185" s="6"/>
      <c r="BU185" s="6"/>
      <c r="BV185" s="6"/>
      <c r="BW185" s="6"/>
      <c r="BX185" s="6"/>
      <c r="BY185" s="6"/>
      <c r="BZ185" s="6"/>
      <c r="CA185" s="6"/>
      <c r="CB185" s="6"/>
      <c r="CC185" s="6"/>
      <c r="CD185" s="6"/>
      <c r="CE185" s="6"/>
      <c r="CF185" s="6"/>
      <c r="CG185" s="6"/>
      <c r="CH185" s="6"/>
      <c r="CI185" s="6"/>
      <c r="CJ185" s="6"/>
      <c r="CK185" s="6"/>
      <c r="CL185" s="6"/>
      <c r="CM185" s="6"/>
      <c r="CN185" s="6"/>
      <c r="CO185" s="6"/>
      <c r="CP185" s="6"/>
      <c r="CQ185" s="6"/>
      <c r="CR185" s="6"/>
      <c r="CS185" s="6"/>
      <c r="CT185" s="6"/>
      <c r="CU185" s="6"/>
      <c r="CV185" s="6"/>
      <c r="CW185" s="6"/>
      <c r="CX185" s="6"/>
      <c r="CY185" s="6"/>
      <c r="CZ185" s="6"/>
      <c r="DA185" s="6"/>
      <c r="DB185" s="6"/>
      <c r="DC185" s="6"/>
    </row>
    <row r="186" spans="1:107" ht="14.25" customHeight="1" x14ac:dyDescent="0.2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  <c r="BL186" s="6"/>
      <c r="BM186" s="6"/>
      <c r="BN186" s="6"/>
      <c r="BO186" s="6"/>
      <c r="BP186" s="6"/>
      <c r="BQ186" s="6"/>
      <c r="BR186" s="6"/>
      <c r="BS186" s="6"/>
      <c r="BT186" s="6"/>
      <c r="BU186" s="6"/>
      <c r="BV186" s="6"/>
      <c r="BW186" s="6"/>
      <c r="BX186" s="6"/>
      <c r="BY186" s="6"/>
      <c r="BZ186" s="6"/>
      <c r="CA186" s="6"/>
      <c r="CB186" s="6"/>
      <c r="CC186" s="6"/>
      <c r="CD186" s="6"/>
      <c r="CE186" s="6"/>
      <c r="CF186" s="6"/>
      <c r="CG186" s="6"/>
      <c r="CH186" s="6"/>
      <c r="CI186" s="6"/>
      <c r="CJ186" s="6"/>
      <c r="CK186" s="6"/>
      <c r="CL186" s="6"/>
      <c r="CM186" s="6"/>
      <c r="CN186" s="6"/>
      <c r="CO186" s="6"/>
      <c r="CP186" s="6"/>
      <c r="CQ186" s="6"/>
      <c r="CR186" s="6"/>
      <c r="CS186" s="6"/>
      <c r="CT186" s="6"/>
      <c r="CU186" s="6"/>
      <c r="CV186" s="6"/>
      <c r="CW186" s="6"/>
      <c r="CX186" s="6"/>
      <c r="CY186" s="6"/>
      <c r="CZ186" s="6"/>
      <c r="DA186" s="6"/>
      <c r="DB186" s="6"/>
      <c r="DC186" s="6"/>
    </row>
    <row r="187" spans="1:107" ht="14.25" customHeight="1" x14ac:dyDescent="0.2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/>
      <c r="BM187" s="6"/>
      <c r="BN187" s="6"/>
      <c r="BO187" s="6"/>
      <c r="BP187" s="6"/>
      <c r="BQ187" s="6"/>
      <c r="BR187" s="6"/>
      <c r="BS187" s="6"/>
      <c r="BT187" s="6"/>
      <c r="BU187" s="6"/>
      <c r="BV187" s="6"/>
      <c r="BW187" s="6"/>
      <c r="BX187" s="6"/>
      <c r="BY187" s="6"/>
      <c r="BZ187" s="6"/>
      <c r="CA187" s="6"/>
      <c r="CB187" s="6"/>
      <c r="CC187" s="6"/>
      <c r="CD187" s="6"/>
      <c r="CE187" s="6"/>
      <c r="CF187" s="6"/>
      <c r="CG187" s="6"/>
      <c r="CH187" s="6"/>
      <c r="CI187" s="6"/>
      <c r="CJ187" s="6"/>
      <c r="CK187" s="6"/>
      <c r="CL187" s="6"/>
      <c r="CM187" s="6"/>
      <c r="CN187" s="6"/>
      <c r="CO187" s="6"/>
      <c r="CP187" s="6"/>
      <c r="CQ187" s="6"/>
      <c r="CR187" s="6"/>
      <c r="CS187" s="6"/>
      <c r="CT187" s="6"/>
      <c r="CU187" s="6"/>
      <c r="CV187" s="6"/>
      <c r="CW187" s="6"/>
      <c r="CX187" s="6"/>
      <c r="CY187" s="6"/>
      <c r="CZ187" s="6"/>
      <c r="DA187" s="6"/>
      <c r="DB187" s="6"/>
      <c r="DC187" s="6"/>
    </row>
    <row r="188" spans="1:107" ht="14.25" customHeight="1" x14ac:dyDescent="0.2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6"/>
      <c r="BN188" s="6"/>
      <c r="BO188" s="6"/>
      <c r="BP188" s="6"/>
      <c r="BQ188" s="6"/>
      <c r="BR188" s="6"/>
      <c r="BS188" s="6"/>
      <c r="BT188" s="6"/>
      <c r="BU188" s="6"/>
      <c r="BV188" s="6"/>
      <c r="BW188" s="6"/>
      <c r="BX188" s="6"/>
      <c r="BY188" s="6"/>
      <c r="BZ188" s="6"/>
      <c r="CA188" s="6"/>
      <c r="CB188" s="6"/>
      <c r="CC188" s="6"/>
      <c r="CD188" s="6"/>
      <c r="CE188" s="6"/>
      <c r="CF188" s="6"/>
      <c r="CG188" s="6"/>
      <c r="CH188" s="6"/>
      <c r="CI188" s="6"/>
      <c r="CJ188" s="6"/>
      <c r="CK188" s="6"/>
      <c r="CL188" s="6"/>
      <c r="CM188" s="6"/>
      <c r="CN188" s="6"/>
      <c r="CO188" s="6"/>
      <c r="CP188" s="6"/>
      <c r="CQ188" s="6"/>
      <c r="CR188" s="6"/>
      <c r="CS188" s="6"/>
      <c r="CT188" s="6"/>
      <c r="CU188" s="6"/>
      <c r="CV188" s="6"/>
      <c r="CW188" s="6"/>
      <c r="CX188" s="6"/>
      <c r="CY188" s="6"/>
      <c r="CZ188" s="6"/>
      <c r="DA188" s="6"/>
      <c r="DB188" s="6"/>
      <c r="DC188" s="6"/>
    </row>
    <row r="189" spans="1:107" ht="14.25" customHeight="1" x14ac:dyDescent="0.2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6"/>
      <c r="BL189" s="6"/>
      <c r="BM189" s="6"/>
      <c r="BN189" s="6"/>
      <c r="BO189" s="6"/>
      <c r="BP189" s="6"/>
      <c r="BQ189" s="6"/>
      <c r="BR189" s="6"/>
      <c r="BS189" s="6"/>
      <c r="BT189" s="6"/>
      <c r="BU189" s="6"/>
      <c r="BV189" s="6"/>
      <c r="BW189" s="6"/>
      <c r="BX189" s="6"/>
      <c r="BY189" s="6"/>
      <c r="BZ189" s="6"/>
      <c r="CA189" s="6"/>
      <c r="CB189" s="6"/>
      <c r="CC189" s="6"/>
      <c r="CD189" s="6"/>
      <c r="CE189" s="6"/>
      <c r="CF189" s="6"/>
      <c r="CG189" s="6"/>
      <c r="CH189" s="6"/>
      <c r="CI189" s="6"/>
      <c r="CJ189" s="6"/>
      <c r="CK189" s="6"/>
      <c r="CL189" s="6"/>
      <c r="CM189" s="6"/>
      <c r="CN189" s="6"/>
      <c r="CO189" s="6"/>
      <c r="CP189" s="6"/>
      <c r="CQ189" s="6"/>
      <c r="CR189" s="6"/>
      <c r="CS189" s="6"/>
      <c r="CT189" s="6"/>
      <c r="CU189" s="6"/>
      <c r="CV189" s="6"/>
      <c r="CW189" s="6"/>
      <c r="CX189" s="6"/>
      <c r="CY189" s="6"/>
      <c r="CZ189" s="6"/>
      <c r="DA189" s="6"/>
      <c r="DB189" s="6"/>
      <c r="DC189" s="6"/>
    </row>
    <row r="190" spans="1:107" ht="14.25" customHeight="1" x14ac:dyDescent="0.2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  <c r="BL190" s="6"/>
      <c r="BM190" s="6"/>
      <c r="BN190" s="6"/>
      <c r="BO190" s="6"/>
      <c r="BP190" s="6"/>
      <c r="BQ190" s="6"/>
      <c r="BR190" s="6"/>
      <c r="BS190" s="6"/>
      <c r="BT190" s="6"/>
      <c r="BU190" s="6"/>
      <c r="BV190" s="6"/>
      <c r="BW190" s="6"/>
      <c r="BX190" s="6"/>
      <c r="BY190" s="6"/>
      <c r="BZ190" s="6"/>
      <c r="CA190" s="6"/>
      <c r="CB190" s="6"/>
      <c r="CC190" s="6"/>
      <c r="CD190" s="6"/>
      <c r="CE190" s="6"/>
      <c r="CF190" s="6"/>
      <c r="CG190" s="6"/>
      <c r="CH190" s="6"/>
      <c r="CI190" s="6"/>
      <c r="CJ190" s="6"/>
      <c r="CK190" s="6"/>
      <c r="CL190" s="6"/>
      <c r="CM190" s="6"/>
      <c r="CN190" s="6"/>
      <c r="CO190" s="6"/>
      <c r="CP190" s="6"/>
      <c r="CQ190" s="6"/>
      <c r="CR190" s="6"/>
      <c r="CS190" s="6"/>
      <c r="CT190" s="6"/>
      <c r="CU190" s="6"/>
      <c r="CV190" s="6"/>
      <c r="CW190" s="6"/>
      <c r="CX190" s="6"/>
      <c r="CY190" s="6"/>
      <c r="CZ190" s="6"/>
      <c r="DA190" s="6"/>
      <c r="DB190" s="6"/>
      <c r="DC190" s="6"/>
    </row>
    <row r="191" spans="1:107" ht="14.25" customHeight="1" x14ac:dyDescent="0.2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  <c r="BM191" s="6"/>
      <c r="BN191" s="6"/>
      <c r="BO191" s="6"/>
      <c r="BP191" s="6"/>
      <c r="BQ191" s="6"/>
      <c r="BR191" s="6"/>
      <c r="BS191" s="6"/>
      <c r="BT191" s="6"/>
      <c r="BU191" s="6"/>
      <c r="BV191" s="6"/>
      <c r="BW191" s="6"/>
      <c r="BX191" s="6"/>
      <c r="BY191" s="6"/>
      <c r="BZ191" s="6"/>
      <c r="CA191" s="6"/>
      <c r="CB191" s="6"/>
      <c r="CC191" s="6"/>
      <c r="CD191" s="6"/>
      <c r="CE191" s="6"/>
      <c r="CF191" s="6"/>
      <c r="CG191" s="6"/>
      <c r="CH191" s="6"/>
      <c r="CI191" s="6"/>
      <c r="CJ191" s="6"/>
      <c r="CK191" s="6"/>
      <c r="CL191" s="6"/>
      <c r="CM191" s="6"/>
      <c r="CN191" s="6"/>
      <c r="CO191" s="6"/>
      <c r="CP191" s="6"/>
      <c r="CQ191" s="6"/>
      <c r="CR191" s="6"/>
      <c r="CS191" s="6"/>
      <c r="CT191" s="6"/>
      <c r="CU191" s="6"/>
      <c r="CV191" s="6"/>
      <c r="CW191" s="6"/>
      <c r="CX191" s="6"/>
      <c r="CY191" s="6"/>
      <c r="CZ191" s="6"/>
      <c r="DA191" s="6"/>
      <c r="DB191" s="6"/>
      <c r="DC191" s="6"/>
    </row>
    <row r="192" spans="1:107" ht="14.25" customHeight="1" x14ac:dyDescent="0.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  <c r="BL192" s="6"/>
      <c r="BM192" s="6"/>
      <c r="BN192" s="6"/>
      <c r="BO192" s="6"/>
      <c r="BP192" s="6"/>
      <c r="BQ192" s="6"/>
      <c r="BR192" s="6"/>
      <c r="BS192" s="6"/>
      <c r="BT192" s="6"/>
      <c r="BU192" s="6"/>
      <c r="BV192" s="6"/>
      <c r="BW192" s="6"/>
      <c r="BX192" s="6"/>
      <c r="BY192" s="6"/>
      <c r="BZ192" s="6"/>
      <c r="CA192" s="6"/>
      <c r="CB192" s="6"/>
      <c r="CC192" s="6"/>
      <c r="CD192" s="6"/>
      <c r="CE192" s="6"/>
      <c r="CF192" s="6"/>
      <c r="CG192" s="6"/>
      <c r="CH192" s="6"/>
      <c r="CI192" s="6"/>
      <c r="CJ192" s="6"/>
      <c r="CK192" s="6"/>
      <c r="CL192" s="6"/>
      <c r="CM192" s="6"/>
      <c r="CN192" s="6"/>
      <c r="CO192" s="6"/>
      <c r="CP192" s="6"/>
      <c r="CQ192" s="6"/>
      <c r="CR192" s="6"/>
      <c r="CS192" s="6"/>
      <c r="CT192" s="6"/>
      <c r="CU192" s="6"/>
      <c r="CV192" s="6"/>
      <c r="CW192" s="6"/>
      <c r="CX192" s="6"/>
      <c r="CY192" s="6"/>
      <c r="CZ192" s="6"/>
      <c r="DA192" s="6"/>
      <c r="DB192" s="6"/>
      <c r="DC192" s="6"/>
    </row>
    <row r="193" spans="1:107" ht="14.25" customHeight="1" x14ac:dyDescent="0.2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  <c r="BL193" s="6"/>
      <c r="BM193" s="6"/>
      <c r="BN193" s="6"/>
      <c r="BO193" s="6"/>
      <c r="BP193" s="6"/>
      <c r="BQ193" s="6"/>
      <c r="BR193" s="6"/>
      <c r="BS193" s="6"/>
      <c r="BT193" s="6"/>
      <c r="BU193" s="6"/>
      <c r="BV193" s="6"/>
      <c r="BW193" s="6"/>
      <c r="BX193" s="6"/>
      <c r="BY193" s="6"/>
      <c r="BZ193" s="6"/>
      <c r="CA193" s="6"/>
      <c r="CB193" s="6"/>
      <c r="CC193" s="6"/>
      <c r="CD193" s="6"/>
      <c r="CE193" s="6"/>
      <c r="CF193" s="6"/>
      <c r="CG193" s="6"/>
      <c r="CH193" s="6"/>
      <c r="CI193" s="6"/>
      <c r="CJ193" s="6"/>
      <c r="CK193" s="6"/>
      <c r="CL193" s="6"/>
      <c r="CM193" s="6"/>
      <c r="CN193" s="6"/>
      <c r="CO193" s="6"/>
      <c r="CP193" s="6"/>
      <c r="CQ193" s="6"/>
      <c r="CR193" s="6"/>
      <c r="CS193" s="6"/>
      <c r="CT193" s="6"/>
      <c r="CU193" s="6"/>
      <c r="CV193" s="6"/>
      <c r="CW193" s="6"/>
      <c r="CX193" s="6"/>
      <c r="CY193" s="6"/>
      <c r="CZ193" s="6"/>
      <c r="DA193" s="6"/>
      <c r="DB193" s="6"/>
      <c r="DC193" s="6"/>
    </row>
    <row r="194" spans="1:107" ht="14.25" customHeight="1" x14ac:dyDescent="0.2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6"/>
      <c r="BO194" s="6"/>
      <c r="BP194" s="6"/>
      <c r="BQ194" s="6"/>
      <c r="BR194" s="6"/>
      <c r="BS194" s="6"/>
      <c r="BT194" s="6"/>
      <c r="BU194" s="6"/>
      <c r="BV194" s="6"/>
      <c r="BW194" s="6"/>
      <c r="BX194" s="6"/>
      <c r="BY194" s="6"/>
      <c r="BZ194" s="6"/>
      <c r="CA194" s="6"/>
      <c r="CB194" s="6"/>
      <c r="CC194" s="6"/>
      <c r="CD194" s="6"/>
      <c r="CE194" s="6"/>
      <c r="CF194" s="6"/>
      <c r="CG194" s="6"/>
      <c r="CH194" s="6"/>
      <c r="CI194" s="6"/>
      <c r="CJ194" s="6"/>
      <c r="CK194" s="6"/>
      <c r="CL194" s="6"/>
      <c r="CM194" s="6"/>
      <c r="CN194" s="6"/>
      <c r="CO194" s="6"/>
      <c r="CP194" s="6"/>
      <c r="CQ194" s="6"/>
      <c r="CR194" s="6"/>
      <c r="CS194" s="6"/>
      <c r="CT194" s="6"/>
      <c r="CU194" s="6"/>
      <c r="CV194" s="6"/>
      <c r="CW194" s="6"/>
      <c r="CX194" s="6"/>
      <c r="CY194" s="6"/>
      <c r="CZ194" s="6"/>
      <c r="DA194" s="6"/>
      <c r="DB194" s="6"/>
      <c r="DC194" s="6"/>
    </row>
    <row r="195" spans="1:107" ht="14.25" customHeight="1" x14ac:dyDescent="0.2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6"/>
      <c r="BO195" s="6"/>
      <c r="BP195" s="6"/>
      <c r="BQ195" s="6"/>
      <c r="BR195" s="6"/>
      <c r="BS195" s="6"/>
      <c r="BT195" s="6"/>
      <c r="BU195" s="6"/>
      <c r="BV195" s="6"/>
      <c r="BW195" s="6"/>
      <c r="BX195" s="6"/>
      <c r="BY195" s="6"/>
      <c r="BZ195" s="6"/>
      <c r="CA195" s="6"/>
      <c r="CB195" s="6"/>
      <c r="CC195" s="6"/>
      <c r="CD195" s="6"/>
      <c r="CE195" s="6"/>
      <c r="CF195" s="6"/>
      <c r="CG195" s="6"/>
      <c r="CH195" s="6"/>
      <c r="CI195" s="6"/>
      <c r="CJ195" s="6"/>
      <c r="CK195" s="6"/>
      <c r="CL195" s="6"/>
      <c r="CM195" s="6"/>
      <c r="CN195" s="6"/>
      <c r="CO195" s="6"/>
      <c r="CP195" s="6"/>
      <c r="CQ195" s="6"/>
      <c r="CR195" s="6"/>
      <c r="CS195" s="6"/>
      <c r="CT195" s="6"/>
      <c r="CU195" s="6"/>
      <c r="CV195" s="6"/>
      <c r="CW195" s="6"/>
      <c r="CX195" s="6"/>
      <c r="CY195" s="6"/>
      <c r="CZ195" s="6"/>
      <c r="DA195" s="6"/>
      <c r="DB195" s="6"/>
      <c r="DC195" s="6"/>
    </row>
    <row r="196" spans="1:107" ht="14.25" customHeight="1" x14ac:dyDescent="0.2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  <c r="BM196" s="6"/>
      <c r="BN196" s="6"/>
      <c r="BO196" s="6"/>
      <c r="BP196" s="6"/>
      <c r="BQ196" s="6"/>
      <c r="BR196" s="6"/>
      <c r="BS196" s="6"/>
      <c r="BT196" s="6"/>
      <c r="BU196" s="6"/>
      <c r="BV196" s="6"/>
      <c r="BW196" s="6"/>
      <c r="BX196" s="6"/>
      <c r="BY196" s="6"/>
      <c r="BZ196" s="6"/>
      <c r="CA196" s="6"/>
      <c r="CB196" s="6"/>
      <c r="CC196" s="6"/>
      <c r="CD196" s="6"/>
      <c r="CE196" s="6"/>
      <c r="CF196" s="6"/>
      <c r="CG196" s="6"/>
      <c r="CH196" s="6"/>
      <c r="CI196" s="6"/>
      <c r="CJ196" s="6"/>
      <c r="CK196" s="6"/>
      <c r="CL196" s="6"/>
      <c r="CM196" s="6"/>
      <c r="CN196" s="6"/>
      <c r="CO196" s="6"/>
      <c r="CP196" s="6"/>
      <c r="CQ196" s="6"/>
      <c r="CR196" s="6"/>
      <c r="CS196" s="6"/>
      <c r="CT196" s="6"/>
      <c r="CU196" s="6"/>
      <c r="CV196" s="6"/>
      <c r="CW196" s="6"/>
      <c r="CX196" s="6"/>
      <c r="CY196" s="6"/>
      <c r="CZ196" s="6"/>
      <c r="DA196" s="6"/>
      <c r="DB196" s="6"/>
      <c r="DC196" s="6"/>
    </row>
    <row r="197" spans="1:107" ht="14.25" customHeight="1" x14ac:dyDescent="0.2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6"/>
      <c r="BO197" s="6"/>
      <c r="BP197" s="6"/>
      <c r="BQ197" s="6"/>
      <c r="BR197" s="6"/>
      <c r="BS197" s="6"/>
      <c r="BT197" s="6"/>
      <c r="BU197" s="6"/>
      <c r="BV197" s="6"/>
      <c r="BW197" s="6"/>
      <c r="BX197" s="6"/>
      <c r="BY197" s="6"/>
      <c r="BZ197" s="6"/>
      <c r="CA197" s="6"/>
      <c r="CB197" s="6"/>
      <c r="CC197" s="6"/>
      <c r="CD197" s="6"/>
      <c r="CE197" s="6"/>
      <c r="CF197" s="6"/>
      <c r="CG197" s="6"/>
      <c r="CH197" s="6"/>
      <c r="CI197" s="6"/>
      <c r="CJ197" s="6"/>
      <c r="CK197" s="6"/>
      <c r="CL197" s="6"/>
      <c r="CM197" s="6"/>
      <c r="CN197" s="6"/>
      <c r="CO197" s="6"/>
      <c r="CP197" s="6"/>
      <c r="CQ197" s="6"/>
      <c r="CR197" s="6"/>
      <c r="CS197" s="6"/>
      <c r="CT197" s="6"/>
      <c r="CU197" s="6"/>
      <c r="CV197" s="6"/>
      <c r="CW197" s="6"/>
      <c r="CX197" s="6"/>
      <c r="CY197" s="6"/>
      <c r="CZ197" s="6"/>
      <c r="DA197" s="6"/>
      <c r="DB197" s="6"/>
      <c r="DC197" s="6"/>
    </row>
    <row r="198" spans="1:107" ht="14.25" customHeight="1" x14ac:dyDescent="0.2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  <c r="BM198" s="6"/>
      <c r="BN198" s="6"/>
      <c r="BO198" s="6"/>
      <c r="BP198" s="6"/>
      <c r="BQ198" s="6"/>
      <c r="BR198" s="6"/>
      <c r="BS198" s="6"/>
      <c r="BT198" s="6"/>
      <c r="BU198" s="6"/>
      <c r="BV198" s="6"/>
      <c r="BW198" s="6"/>
      <c r="BX198" s="6"/>
      <c r="BY198" s="6"/>
      <c r="BZ198" s="6"/>
      <c r="CA198" s="6"/>
      <c r="CB198" s="6"/>
      <c r="CC198" s="6"/>
      <c r="CD198" s="6"/>
      <c r="CE198" s="6"/>
      <c r="CF198" s="6"/>
      <c r="CG198" s="6"/>
      <c r="CH198" s="6"/>
      <c r="CI198" s="6"/>
      <c r="CJ198" s="6"/>
      <c r="CK198" s="6"/>
      <c r="CL198" s="6"/>
      <c r="CM198" s="6"/>
      <c r="CN198" s="6"/>
      <c r="CO198" s="6"/>
      <c r="CP198" s="6"/>
      <c r="CQ198" s="6"/>
      <c r="CR198" s="6"/>
      <c r="CS198" s="6"/>
      <c r="CT198" s="6"/>
      <c r="CU198" s="6"/>
      <c r="CV198" s="6"/>
      <c r="CW198" s="6"/>
      <c r="CX198" s="6"/>
      <c r="CY198" s="6"/>
      <c r="CZ198" s="6"/>
      <c r="DA198" s="6"/>
      <c r="DB198" s="6"/>
      <c r="DC198" s="6"/>
    </row>
    <row r="199" spans="1:107" ht="14.25" customHeight="1" x14ac:dyDescent="0.2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6"/>
      <c r="BO199" s="6"/>
      <c r="BP199" s="6"/>
      <c r="BQ199" s="6"/>
      <c r="BR199" s="6"/>
      <c r="BS199" s="6"/>
      <c r="BT199" s="6"/>
      <c r="BU199" s="6"/>
      <c r="BV199" s="6"/>
      <c r="BW199" s="6"/>
      <c r="BX199" s="6"/>
      <c r="BY199" s="6"/>
      <c r="BZ199" s="6"/>
      <c r="CA199" s="6"/>
      <c r="CB199" s="6"/>
      <c r="CC199" s="6"/>
      <c r="CD199" s="6"/>
      <c r="CE199" s="6"/>
      <c r="CF199" s="6"/>
      <c r="CG199" s="6"/>
      <c r="CH199" s="6"/>
      <c r="CI199" s="6"/>
      <c r="CJ199" s="6"/>
      <c r="CK199" s="6"/>
      <c r="CL199" s="6"/>
      <c r="CM199" s="6"/>
      <c r="CN199" s="6"/>
      <c r="CO199" s="6"/>
      <c r="CP199" s="6"/>
      <c r="CQ199" s="6"/>
      <c r="CR199" s="6"/>
      <c r="CS199" s="6"/>
      <c r="CT199" s="6"/>
      <c r="CU199" s="6"/>
      <c r="CV199" s="6"/>
      <c r="CW199" s="6"/>
      <c r="CX199" s="6"/>
      <c r="CY199" s="6"/>
      <c r="CZ199" s="6"/>
      <c r="DA199" s="6"/>
      <c r="DB199" s="6"/>
      <c r="DC199" s="6"/>
    </row>
    <row r="200" spans="1:107" ht="14.25" customHeight="1" x14ac:dyDescent="0.2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  <c r="BJ200" s="6"/>
      <c r="BK200" s="6"/>
      <c r="BL200" s="6"/>
      <c r="BM200" s="6"/>
      <c r="BN200" s="6"/>
      <c r="BO200" s="6"/>
      <c r="BP200" s="6"/>
      <c r="BQ200" s="6"/>
      <c r="BR200" s="6"/>
      <c r="BS200" s="6"/>
      <c r="BT200" s="6"/>
      <c r="BU200" s="6"/>
      <c r="BV200" s="6"/>
      <c r="BW200" s="6"/>
      <c r="BX200" s="6"/>
      <c r="BY200" s="6"/>
      <c r="BZ200" s="6"/>
      <c r="CA200" s="6"/>
      <c r="CB200" s="6"/>
      <c r="CC200" s="6"/>
      <c r="CD200" s="6"/>
      <c r="CE200" s="6"/>
      <c r="CF200" s="6"/>
      <c r="CG200" s="6"/>
      <c r="CH200" s="6"/>
      <c r="CI200" s="6"/>
      <c r="CJ200" s="6"/>
      <c r="CK200" s="6"/>
      <c r="CL200" s="6"/>
      <c r="CM200" s="6"/>
      <c r="CN200" s="6"/>
      <c r="CO200" s="6"/>
      <c r="CP200" s="6"/>
      <c r="CQ200" s="6"/>
      <c r="CR200" s="6"/>
      <c r="CS200" s="6"/>
      <c r="CT200" s="6"/>
      <c r="CU200" s="6"/>
      <c r="CV200" s="6"/>
      <c r="CW200" s="6"/>
      <c r="CX200" s="6"/>
      <c r="CY200" s="6"/>
      <c r="CZ200" s="6"/>
      <c r="DA200" s="6"/>
      <c r="DB200" s="6"/>
      <c r="DC200" s="6"/>
    </row>
    <row r="201" spans="1:107" ht="14.25" customHeight="1" x14ac:dyDescent="0.2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6"/>
      <c r="BO201" s="6"/>
      <c r="BP201" s="6"/>
      <c r="BQ201" s="6"/>
      <c r="BR201" s="6"/>
      <c r="BS201" s="6"/>
      <c r="BT201" s="6"/>
      <c r="BU201" s="6"/>
      <c r="BV201" s="6"/>
      <c r="BW201" s="6"/>
      <c r="BX201" s="6"/>
      <c r="BY201" s="6"/>
      <c r="BZ201" s="6"/>
      <c r="CA201" s="6"/>
      <c r="CB201" s="6"/>
      <c r="CC201" s="6"/>
      <c r="CD201" s="6"/>
      <c r="CE201" s="6"/>
      <c r="CF201" s="6"/>
      <c r="CG201" s="6"/>
      <c r="CH201" s="6"/>
      <c r="CI201" s="6"/>
      <c r="CJ201" s="6"/>
      <c r="CK201" s="6"/>
      <c r="CL201" s="6"/>
      <c r="CM201" s="6"/>
      <c r="CN201" s="6"/>
      <c r="CO201" s="6"/>
      <c r="CP201" s="6"/>
      <c r="CQ201" s="6"/>
      <c r="CR201" s="6"/>
      <c r="CS201" s="6"/>
      <c r="CT201" s="6"/>
      <c r="CU201" s="6"/>
      <c r="CV201" s="6"/>
      <c r="CW201" s="6"/>
      <c r="CX201" s="6"/>
      <c r="CY201" s="6"/>
      <c r="CZ201" s="6"/>
      <c r="DA201" s="6"/>
      <c r="DB201" s="6"/>
      <c r="DC201" s="6"/>
    </row>
    <row r="202" spans="1:107" ht="14.25" customHeight="1" x14ac:dyDescent="0.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  <c r="BM202" s="6"/>
      <c r="BN202" s="6"/>
      <c r="BO202" s="6"/>
      <c r="BP202" s="6"/>
      <c r="BQ202" s="6"/>
      <c r="BR202" s="6"/>
      <c r="BS202" s="6"/>
      <c r="BT202" s="6"/>
      <c r="BU202" s="6"/>
      <c r="BV202" s="6"/>
      <c r="BW202" s="6"/>
      <c r="BX202" s="6"/>
      <c r="BY202" s="6"/>
      <c r="BZ202" s="6"/>
      <c r="CA202" s="6"/>
      <c r="CB202" s="6"/>
      <c r="CC202" s="6"/>
      <c r="CD202" s="6"/>
      <c r="CE202" s="6"/>
      <c r="CF202" s="6"/>
      <c r="CG202" s="6"/>
      <c r="CH202" s="6"/>
      <c r="CI202" s="6"/>
      <c r="CJ202" s="6"/>
      <c r="CK202" s="6"/>
      <c r="CL202" s="6"/>
      <c r="CM202" s="6"/>
      <c r="CN202" s="6"/>
      <c r="CO202" s="6"/>
      <c r="CP202" s="6"/>
      <c r="CQ202" s="6"/>
      <c r="CR202" s="6"/>
      <c r="CS202" s="6"/>
      <c r="CT202" s="6"/>
      <c r="CU202" s="6"/>
      <c r="CV202" s="6"/>
      <c r="CW202" s="6"/>
      <c r="CX202" s="6"/>
      <c r="CY202" s="6"/>
      <c r="CZ202" s="6"/>
      <c r="DA202" s="6"/>
      <c r="DB202" s="6"/>
      <c r="DC202" s="6"/>
    </row>
    <row r="203" spans="1:107" ht="14.25" customHeight="1" x14ac:dyDescent="0.2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6"/>
      <c r="BO203" s="6"/>
      <c r="BP203" s="6"/>
      <c r="BQ203" s="6"/>
      <c r="BR203" s="6"/>
      <c r="BS203" s="6"/>
      <c r="BT203" s="6"/>
      <c r="BU203" s="6"/>
      <c r="BV203" s="6"/>
      <c r="BW203" s="6"/>
      <c r="BX203" s="6"/>
      <c r="BY203" s="6"/>
      <c r="BZ203" s="6"/>
      <c r="CA203" s="6"/>
      <c r="CB203" s="6"/>
      <c r="CC203" s="6"/>
      <c r="CD203" s="6"/>
      <c r="CE203" s="6"/>
      <c r="CF203" s="6"/>
      <c r="CG203" s="6"/>
      <c r="CH203" s="6"/>
      <c r="CI203" s="6"/>
      <c r="CJ203" s="6"/>
      <c r="CK203" s="6"/>
      <c r="CL203" s="6"/>
      <c r="CM203" s="6"/>
      <c r="CN203" s="6"/>
      <c r="CO203" s="6"/>
      <c r="CP203" s="6"/>
      <c r="CQ203" s="6"/>
      <c r="CR203" s="6"/>
      <c r="CS203" s="6"/>
      <c r="CT203" s="6"/>
      <c r="CU203" s="6"/>
      <c r="CV203" s="6"/>
      <c r="CW203" s="6"/>
      <c r="CX203" s="6"/>
      <c r="CY203" s="6"/>
      <c r="CZ203" s="6"/>
      <c r="DA203" s="6"/>
      <c r="DB203" s="6"/>
      <c r="DC203" s="6"/>
    </row>
    <row r="204" spans="1:107" ht="14.25" customHeight="1" x14ac:dyDescent="0.2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  <c r="BN204" s="6"/>
      <c r="BO204" s="6"/>
      <c r="BP204" s="6"/>
      <c r="BQ204" s="6"/>
      <c r="BR204" s="6"/>
      <c r="BS204" s="6"/>
      <c r="BT204" s="6"/>
      <c r="BU204" s="6"/>
      <c r="BV204" s="6"/>
      <c r="BW204" s="6"/>
      <c r="BX204" s="6"/>
      <c r="BY204" s="6"/>
      <c r="BZ204" s="6"/>
      <c r="CA204" s="6"/>
      <c r="CB204" s="6"/>
      <c r="CC204" s="6"/>
      <c r="CD204" s="6"/>
      <c r="CE204" s="6"/>
      <c r="CF204" s="6"/>
      <c r="CG204" s="6"/>
      <c r="CH204" s="6"/>
      <c r="CI204" s="6"/>
      <c r="CJ204" s="6"/>
      <c r="CK204" s="6"/>
      <c r="CL204" s="6"/>
      <c r="CM204" s="6"/>
      <c r="CN204" s="6"/>
      <c r="CO204" s="6"/>
      <c r="CP204" s="6"/>
      <c r="CQ204" s="6"/>
      <c r="CR204" s="6"/>
      <c r="CS204" s="6"/>
      <c r="CT204" s="6"/>
      <c r="CU204" s="6"/>
      <c r="CV204" s="6"/>
      <c r="CW204" s="6"/>
      <c r="CX204" s="6"/>
      <c r="CY204" s="6"/>
      <c r="CZ204" s="6"/>
      <c r="DA204" s="6"/>
      <c r="DB204" s="6"/>
      <c r="DC204" s="6"/>
    </row>
    <row r="205" spans="1:107" ht="14.25" customHeight="1" x14ac:dyDescent="0.2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  <c r="BL205" s="6"/>
      <c r="BM205" s="6"/>
      <c r="BN205" s="6"/>
      <c r="BO205" s="6"/>
      <c r="BP205" s="6"/>
      <c r="BQ205" s="6"/>
      <c r="BR205" s="6"/>
      <c r="BS205" s="6"/>
      <c r="BT205" s="6"/>
      <c r="BU205" s="6"/>
      <c r="BV205" s="6"/>
      <c r="BW205" s="6"/>
      <c r="BX205" s="6"/>
      <c r="BY205" s="6"/>
      <c r="BZ205" s="6"/>
      <c r="CA205" s="6"/>
      <c r="CB205" s="6"/>
      <c r="CC205" s="6"/>
      <c r="CD205" s="6"/>
      <c r="CE205" s="6"/>
      <c r="CF205" s="6"/>
      <c r="CG205" s="6"/>
      <c r="CH205" s="6"/>
      <c r="CI205" s="6"/>
      <c r="CJ205" s="6"/>
      <c r="CK205" s="6"/>
      <c r="CL205" s="6"/>
      <c r="CM205" s="6"/>
      <c r="CN205" s="6"/>
      <c r="CO205" s="6"/>
      <c r="CP205" s="6"/>
      <c r="CQ205" s="6"/>
      <c r="CR205" s="6"/>
      <c r="CS205" s="6"/>
      <c r="CT205" s="6"/>
      <c r="CU205" s="6"/>
      <c r="CV205" s="6"/>
      <c r="CW205" s="6"/>
      <c r="CX205" s="6"/>
      <c r="CY205" s="6"/>
      <c r="CZ205" s="6"/>
      <c r="DA205" s="6"/>
      <c r="DB205" s="6"/>
      <c r="DC205" s="6"/>
    </row>
    <row r="206" spans="1:107" ht="14.25" customHeight="1" x14ac:dyDescent="0.2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  <c r="BM206" s="6"/>
      <c r="BN206" s="6"/>
      <c r="BO206" s="6"/>
      <c r="BP206" s="6"/>
      <c r="BQ206" s="6"/>
      <c r="BR206" s="6"/>
      <c r="BS206" s="6"/>
      <c r="BT206" s="6"/>
      <c r="BU206" s="6"/>
      <c r="BV206" s="6"/>
      <c r="BW206" s="6"/>
      <c r="BX206" s="6"/>
      <c r="BY206" s="6"/>
      <c r="BZ206" s="6"/>
      <c r="CA206" s="6"/>
      <c r="CB206" s="6"/>
      <c r="CC206" s="6"/>
      <c r="CD206" s="6"/>
      <c r="CE206" s="6"/>
      <c r="CF206" s="6"/>
      <c r="CG206" s="6"/>
      <c r="CH206" s="6"/>
      <c r="CI206" s="6"/>
      <c r="CJ206" s="6"/>
      <c r="CK206" s="6"/>
      <c r="CL206" s="6"/>
      <c r="CM206" s="6"/>
      <c r="CN206" s="6"/>
      <c r="CO206" s="6"/>
      <c r="CP206" s="6"/>
      <c r="CQ206" s="6"/>
      <c r="CR206" s="6"/>
      <c r="CS206" s="6"/>
      <c r="CT206" s="6"/>
      <c r="CU206" s="6"/>
      <c r="CV206" s="6"/>
      <c r="CW206" s="6"/>
      <c r="CX206" s="6"/>
      <c r="CY206" s="6"/>
      <c r="CZ206" s="6"/>
      <c r="DA206" s="6"/>
      <c r="DB206" s="6"/>
      <c r="DC206" s="6"/>
    </row>
    <row r="207" spans="1:107" ht="14.25" customHeight="1" x14ac:dyDescent="0.2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  <c r="BL207" s="6"/>
      <c r="BM207" s="6"/>
      <c r="BN207" s="6"/>
      <c r="BO207" s="6"/>
      <c r="BP207" s="6"/>
      <c r="BQ207" s="6"/>
      <c r="BR207" s="6"/>
      <c r="BS207" s="6"/>
      <c r="BT207" s="6"/>
      <c r="BU207" s="6"/>
      <c r="BV207" s="6"/>
      <c r="BW207" s="6"/>
      <c r="BX207" s="6"/>
      <c r="BY207" s="6"/>
      <c r="BZ207" s="6"/>
      <c r="CA207" s="6"/>
      <c r="CB207" s="6"/>
      <c r="CC207" s="6"/>
      <c r="CD207" s="6"/>
      <c r="CE207" s="6"/>
      <c r="CF207" s="6"/>
      <c r="CG207" s="6"/>
      <c r="CH207" s="6"/>
      <c r="CI207" s="6"/>
      <c r="CJ207" s="6"/>
      <c r="CK207" s="6"/>
      <c r="CL207" s="6"/>
      <c r="CM207" s="6"/>
      <c r="CN207" s="6"/>
      <c r="CO207" s="6"/>
      <c r="CP207" s="6"/>
      <c r="CQ207" s="6"/>
      <c r="CR207" s="6"/>
      <c r="CS207" s="6"/>
      <c r="CT207" s="6"/>
      <c r="CU207" s="6"/>
      <c r="CV207" s="6"/>
      <c r="CW207" s="6"/>
      <c r="CX207" s="6"/>
      <c r="CY207" s="6"/>
      <c r="CZ207" s="6"/>
      <c r="DA207" s="6"/>
      <c r="DB207" s="6"/>
      <c r="DC207" s="6"/>
    </row>
    <row r="208" spans="1:107" ht="14.25" customHeight="1" x14ac:dyDescent="0.2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  <c r="BK208" s="6"/>
      <c r="BL208" s="6"/>
      <c r="BM208" s="6"/>
      <c r="BN208" s="6"/>
      <c r="BO208" s="6"/>
      <c r="BP208" s="6"/>
      <c r="BQ208" s="6"/>
      <c r="BR208" s="6"/>
      <c r="BS208" s="6"/>
      <c r="BT208" s="6"/>
      <c r="BU208" s="6"/>
      <c r="BV208" s="6"/>
      <c r="BW208" s="6"/>
      <c r="BX208" s="6"/>
      <c r="BY208" s="6"/>
      <c r="BZ208" s="6"/>
      <c r="CA208" s="6"/>
      <c r="CB208" s="6"/>
      <c r="CC208" s="6"/>
      <c r="CD208" s="6"/>
      <c r="CE208" s="6"/>
      <c r="CF208" s="6"/>
      <c r="CG208" s="6"/>
      <c r="CH208" s="6"/>
      <c r="CI208" s="6"/>
      <c r="CJ208" s="6"/>
      <c r="CK208" s="6"/>
      <c r="CL208" s="6"/>
      <c r="CM208" s="6"/>
      <c r="CN208" s="6"/>
      <c r="CO208" s="6"/>
      <c r="CP208" s="6"/>
      <c r="CQ208" s="6"/>
      <c r="CR208" s="6"/>
      <c r="CS208" s="6"/>
      <c r="CT208" s="6"/>
      <c r="CU208" s="6"/>
      <c r="CV208" s="6"/>
      <c r="CW208" s="6"/>
      <c r="CX208" s="6"/>
      <c r="CY208" s="6"/>
      <c r="CZ208" s="6"/>
      <c r="DA208" s="6"/>
      <c r="DB208" s="6"/>
      <c r="DC208" s="6"/>
    </row>
    <row r="209" spans="1:107" ht="14.25" customHeight="1" x14ac:dyDescent="0.2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  <c r="BK209" s="6"/>
      <c r="BL209" s="6"/>
      <c r="BM209" s="6"/>
      <c r="BN209" s="6"/>
      <c r="BO209" s="6"/>
      <c r="BP209" s="6"/>
      <c r="BQ209" s="6"/>
      <c r="BR209" s="6"/>
      <c r="BS209" s="6"/>
      <c r="BT209" s="6"/>
      <c r="BU209" s="6"/>
      <c r="BV209" s="6"/>
      <c r="BW209" s="6"/>
      <c r="BX209" s="6"/>
      <c r="BY209" s="6"/>
      <c r="BZ209" s="6"/>
      <c r="CA209" s="6"/>
      <c r="CB209" s="6"/>
      <c r="CC209" s="6"/>
      <c r="CD209" s="6"/>
      <c r="CE209" s="6"/>
      <c r="CF209" s="6"/>
      <c r="CG209" s="6"/>
      <c r="CH209" s="6"/>
      <c r="CI209" s="6"/>
      <c r="CJ209" s="6"/>
      <c r="CK209" s="6"/>
      <c r="CL209" s="6"/>
      <c r="CM209" s="6"/>
      <c r="CN209" s="6"/>
      <c r="CO209" s="6"/>
      <c r="CP209" s="6"/>
      <c r="CQ209" s="6"/>
      <c r="CR209" s="6"/>
      <c r="CS209" s="6"/>
      <c r="CT209" s="6"/>
      <c r="CU209" s="6"/>
      <c r="CV209" s="6"/>
      <c r="CW209" s="6"/>
      <c r="CX209" s="6"/>
      <c r="CY209" s="6"/>
      <c r="CZ209" s="6"/>
      <c r="DA209" s="6"/>
      <c r="DB209" s="6"/>
      <c r="DC209" s="6"/>
    </row>
    <row r="210" spans="1:107" ht="14.25" customHeight="1" x14ac:dyDescent="0.2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K210" s="6"/>
      <c r="BL210" s="6"/>
      <c r="BM210" s="6"/>
      <c r="BN210" s="6"/>
      <c r="BO210" s="6"/>
      <c r="BP210" s="6"/>
      <c r="BQ210" s="6"/>
      <c r="BR210" s="6"/>
      <c r="BS210" s="6"/>
      <c r="BT210" s="6"/>
      <c r="BU210" s="6"/>
      <c r="BV210" s="6"/>
      <c r="BW210" s="6"/>
      <c r="BX210" s="6"/>
      <c r="BY210" s="6"/>
      <c r="BZ210" s="6"/>
      <c r="CA210" s="6"/>
      <c r="CB210" s="6"/>
      <c r="CC210" s="6"/>
      <c r="CD210" s="6"/>
      <c r="CE210" s="6"/>
      <c r="CF210" s="6"/>
      <c r="CG210" s="6"/>
      <c r="CH210" s="6"/>
      <c r="CI210" s="6"/>
      <c r="CJ210" s="6"/>
      <c r="CK210" s="6"/>
      <c r="CL210" s="6"/>
      <c r="CM210" s="6"/>
      <c r="CN210" s="6"/>
      <c r="CO210" s="6"/>
      <c r="CP210" s="6"/>
      <c r="CQ210" s="6"/>
      <c r="CR210" s="6"/>
      <c r="CS210" s="6"/>
      <c r="CT210" s="6"/>
      <c r="CU210" s="6"/>
      <c r="CV210" s="6"/>
      <c r="CW210" s="6"/>
      <c r="CX210" s="6"/>
      <c r="CY210" s="6"/>
      <c r="CZ210" s="6"/>
      <c r="DA210" s="6"/>
      <c r="DB210" s="6"/>
      <c r="DC210" s="6"/>
    </row>
    <row r="211" spans="1:107" ht="14.25" customHeight="1" x14ac:dyDescent="0.2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  <c r="BJ211" s="6"/>
      <c r="BK211" s="6"/>
      <c r="BL211" s="6"/>
      <c r="BM211" s="6"/>
      <c r="BN211" s="6"/>
      <c r="BO211" s="6"/>
      <c r="BP211" s="6"/>
      <c r="BQ211" s="6"/>
      <c r="BR211" s="6"/>
      <c r="BS211" s="6"/>
      <c r="BT211" s="6"/>
      <c r="BU211" s="6"/>
      <c r="BV211" s="6"/>
      <c r="BW211" s="6"/>
      <c r="BX211" s="6"/>
      <c r="BY211" s="6"/>
      <c r="BZ211" s="6"/>
      <c r="CA211" s="6"/>
      <c r="CB211" s="6"/>
      <c r="CC211" s="6"/>
      <c r="CD211" s="6"/>
      <c r="CE211" s="6"/>
      <c r="CF211" s="6"/>
      <c r="CG211" s="6"/>
      <c r="CH211" s="6"/>
      <c r="CI211" s="6"/>
      <c r="CJ211" s="6"/>
      <c r="CK211" s="6"/>
      <c r="CL211" s="6"/>
      <c r="CM211" s="6"/>
      <c r="CN211" s="6"/>
      <c r="CO211" s="6"/>
      <c r="CP211" s="6"/>
      <c r="CQ211" s="6"/>
      <c r="CR211" s="6"/>
      <c r="CS211" s="6"/>
      <c r="CT211" s="6"/>
      <c r="CU211" s="6"/>
      <c r="CV211" s="6"/>
      <c r="CW211" s="6"/>
      <c r="CX211" s="6"/>
      <c r="CY211" s="6"/>
      <c r="CZ211" s="6"/>
      <c r="DA211" s="6"/>
      <c r="DB211" s="6"/>
      <c r="DC211" s="6"/>
    </row>
    <row r="212" spans="1:107" ht="14.25" customHeight="1" x14ac:dyDescent="0.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  <c r="BJ212" s="6"/>
      <c r="BK212" s="6"/>
      <c r="BL212" s="6"/>
      <c r="BM212" s="6"/>
      <c r="BN212" s="6"/>
      <c r="BO212" s="6"/>
      <c r="BP212" s="6"/>
      <c r="BQ212" s="6"/>
      <c r="BR212" s="6"/>
      <c r="BS212" s="6"/>
      <c r="BT212" s="6"/>
      <c r="BU212" s="6"/>
      <c r="BV212" s="6"/>
      <c r="BW212" s="6"/>
      <c r="BX212" s="6"/>
      <c r="BY212" s="6"/>
      <c r="BZ212" s="6"/>
      <c r="CA212" s="6"/>
      <c r="CB212" s="6"/>
      <c r="CC212" s="6"/>
      <c r="CD212" s="6"/>
      <c r="CE212" s="6"/>
      <c r="CF212" s="6"/>
      <c r="CG212" s="6"/>
      <c r="CH212" s="6"/>
      <c r="CI212" s="6"/>
      <c r="CJ212" s="6"/>
      <c r="CK212" s="6"/>
      <c r="CL212" s="6"/>
      <c r="CM212" s="6"/>
      <c r="CN212" s="6"/>
      <c r="CO212" s="6"/>
      <c r="CP212" s="6"/>
      <c r="CQ212" s="6"/>
      <c r="CR212" s="6"/>
      <c r="CS212" s="6"/>
      <c r="CT212" s="6"/>
      <c r="CU212" s="6"/>
      <c r="CV212" s="6"/>
      <c r="CW212" s="6"/>
      <c r="CX212" s="6"/>
      <c r="CY212" s="6"/>
      <c r="CZ212" s="6"/>
      <c r="DA212" s="6"/>
      <c r="DB212" s="6"/>
      <c r="DC212" s="6"/>
    </row>
    <row r="213" spans="1:107" ht="14.25" customHeight="1" x14ac:dyDescent="0.2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  <c r="BJ213" s="6"/>
      <c r="BK213" s="6"/>
      <c r="BL213" s="6"/>
      <c r="BM213" s="6"/>
      <c r="BN213" s="6"/>
      <c r="BO213" s="6"/>
      <c r="BP213" s="6"/>
      <c r="BQ213" s="6"/>
      <c r="BR213" s="6"/>
      <c r="BS213" s="6"/>
      <c r="BT213" s="6"/>
      <c r="BU213" s="6"/>
      <c r="BV213" s="6"/>
      <c r="BW213" s="6"/>
      <c r="BX213" s="6"/>
      <c r="BY213" s="6"/>
      <c r="BZ213" s="6"/>
      <c r="CA213" s="6"/>
      <c r="CB213" s="6"/>
      <c r="CC213" s="6"/>
      <c r="CD213" s="6"/>
      <c r="CE213" s="6"/>
      <c r="CF213" s="6"/>
      <c r="CG213" s="6"/>
      <c r="CH213" s="6"/>
      <c r="CI213" s="6"/>
      <c r="CJ213" s="6"/>
      <c r="CK213" s="6"/>
      <c r="CL213" s="6"/>
      <c r="CM213" s="6"/>
      <c r="CN213" s="6"/>
      <c r="CO213" s="6"/>
      <c r="CP213" s="6"/>
      <c r="CQ213" s="6"/>
      <c r="CR213" s="6"/>
      <c r="CS213" s="6"/>
      <c r="CT213" s="6"/>
      <c r="CU213" s="6"/>
      <c r="CV213" s="6"/>
      <c r="CW213" s="6"/>
      <c r="CX213" s="6"/>
      <c r="CY213" s="6"/>
      <c r="CZ213" s="6"/>
      <c r="DA213" s="6"/>
      <c r="DB213" s="6"/>
      <c r="DC213" s="6"/>
    </row>
    <row r="214" spans="1:107" ht="14.25" customHeight="1" x14ac:dyDescent="0.2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  <c r="BJ214" s="6"/>
      <c r="BK214" s="6"/>
      <c r="BL214" s="6"/>
      <c r="BM214" s="6"/>
      <c r="BN214" s="6"/>
      <c r="BO214" s="6"/>
      <c r="BP214" s="6"/>
      <c r="BQ214" s="6"/>
      <c r="BR214" s="6"/>
      <c r="BS214" s="6"/>
      <c r="BT214" s="6"/>
      <c r="BU214" s="6"/>
      <c r="BV214" s="6"/>
      <c r="BW214" s="6"/>
      <c r="BX214" s="6"/>
      <c r="BY214" s="6"/>
      <c r="BZ214" s="6"/>
      <c r="CA214" s="6"/>
      <c r="CB214" s="6"/>
      <c r="CC214" s="6"/>
      <c r="CD214" s="6"/>
      <c r="CE214" s="6"/>
      <c r="CF214" s="6"/>
      <c r="CG214" s="6"/>
      <c r="CH214" s="6"/>
      <c r="CI214" s="6"/>
      <c r="CJ214" s="6"/>
      <c r="CK214" s="6"/>
      <c r="CL214" s="6"/>
      <c r="CM214" s="6"/>
      <c r="CN214" s="6"/>
      <c r="CO214" s="6"/>
      <c r="CP214" s="6"/>
      <c r="CQ214" s="6"/>
      <c r="CR214" s="6"/>
      <c r="CS214" s="6"/>
      <c r="CT214" s="6"/>
      <c r="CU214" s="6"/>
      <c r="CV214" s="6"/>
      <c r="CW214" s="6"/>
      <c r="CX214" s="6"/>
      <c r="CY214" s="6"/>
      <c r="CZ214" s="6"/>
      <c r="DA214" s="6"/>
      <c r="DB214" s="6"/>
      <c r="DC214" s="6"/>
    </row>
    <row r="215" spans="1:107" ht="14.25" customHeight="1" x14ac:dyDescent="0.2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  <c r="BJ215" s="6"/>
      <c r="BK215" s="6"/>
      <c r="BL215" s="6"/>
      <c r="BM215" s="6"/>
      <c r="BN215" s="6"/>
      <c r="BO215" s="6"/>
      <c r="BP215" s="6"/>
      <c r="BQ215" s="6"/>
      <c r="BR215" s="6"/>
      <c r="BS215" s="6"/>
      <c r="BT215" s="6"/>
      <c r="BU215" s="6"/>
      <c r="BV215" s="6"/>
      <c r="BW215" s="6"/>
      <c r="BX215" s="6"/>
      <c r="BY215" s="6"/>
      <c r="BZ215" s="6"/>
      <c r="CA215" s="6"/>
      <c r="CB215" s="6"/>
      <c r="CC215" s="6"/>
      <c r="CD215" s="6"/>
      <c r="CE215" s="6"/>
      <c r="CF215" s="6"/>
      <c r="CG215" s="6"/>
      <c r="CH215" s="6"/>
      <c r="CI215" s="6"/>
      <c r="CJ215" s="6"/>
      <c r="CK215" s="6"/>
      <c r="CL215" s="6"/>
      <c r="CM215" s="6"/>
      <c r="CN215" s="6"/>
      <c r="CO215" s="6"/>
      <c r="CP215" s="6"/>
      <c r="CQ215" s="6"/>
      <c r="CR215" s="6"/>
      <c r="CS215" s="6"/>
      <c r="CT215" s="6"/>
      <c r="CU215" s="6"/>
      <c r="CV215" s="6"/>
      <c r="CW215" s="6"/>
      <c r="CX215" s="6"/>
      <c r="CY215" s="6"/>
      <c r="CZ215" s="6"/>
      <c r="DA215" s="6"/>
      <c r="DB215" s="6"/>
      <c r="DC215" s="6"/>
    </row>
    <row r="216" spans="1:107" ht="14.25" customHeight="1" x14ac:dyDescent="0.2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  <c r="BJ216" s="6"/>
      <c r="BK216" s="6"/>
      <c r="BL216" s="6"/>
      <c r="BM216" s="6"/>
      <c r="BN216" s="6"/>
      <c r="BO216" s="6"/>
      <c r="BP216" s="6"/>
      <c r="BQ216" s="6"/>
      <c r="BR216" s="6"/>
      <c r="BS216" s="6"/>
      <c r="BT216" s="6"/>
      <c r="BU216" s="6"/>
      <c r="BV216" s="6"/>
      <c r="BW216" s="6"/>
      <c r="BX216" s="6"/>
      <c r="BY216" s="6"/>
      <c r="BZ216" s="6"/>
      <c r="CA216" s="6"/>
      <c r="CB216" s="6"/>
      <c r="CC216" s="6"/>
      <c r="CD216" s="6"/>
      <c r="CE216" s="6"/>
      <c r="CF216" s="6"/>
      <c r="CG216" s="6"/>
      <c r="CH216" s="6"/>
      <c r="CI216" s="6"/>
      <c r="CJ216" s="6"/>
      <c r="CK216" s="6"/>
      <c r="CL216" s="6"/>
      <c r="CM216" s="6"/>
      <c r="CN216" s="6"/>
      <c r="CO216" s="6"/>
      <c r="CP216" s="6"/>
      <c r="CQ216" s="6"/>
      <c r="CR216" s="6"/>
      <c r="CS216" s="6"/>
      <c r="CT216" s="6"/>
      <c r="CU216" s="6"/>
      <c r="CV216" s="6"/>
      <c r="CW216" s="6"/>
      <c r="CX216" s="6"/>
      <c r="CY216" s="6"/>
      <c r="CZ216" s="6"/>
      <c r="DA216" s="6"/>
      <c r="DB216" s="6"/>
      <c r="DC216" s="6"/>
    </row>
    <row r="217" spans="1:107" ht="14.25" customHeight="1" x14ac:dyDescent="0.2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  <c r="BK217" s="6"/>
      <c r="BL217" s="6"/>
      <c r="BM217" s="6"/>
      <c r="BN217" s="6"/>
      <c r="BO217" s="6"/>
      <c r="BP217" s="6"/>
      <c r="BQ217" s="6"/>
      <c r="BR217" s="6"/>
      <c r="BS217" s="6"/>
      <c r="BT217" s="6"/>
      <c r="BU217" s="6"/>
      <c r="BV217" s="6"/>
      <c r="BW217" s="6"/>
      <c r="BX217" s="6"/>
      <c r="BY217" s="6"/>
      <c r="BZ217" s="6"/>
      <c r="CA217" s="6"/>
      <c r="CB217" s="6"/>
      <c r="CC217" s="6"/>
      <c r="CD217" s="6"/>
      <c r="CE217" s="6"/>
      <c r="CF217" s="6"/>
      <c r="CG217" s="6"/>
      <c r="CH217" s="6"/>
      <c r="CI217" s="6"/>
      <c r="CJ217" s="6"/>
      <c r="CK217" s="6"/>
      <c r="CL217" s="6"/>
      <c r="CM217" s="6"/>
      <c r="CN217" s="6"/>
      <c r="CO217" s="6"/>
      <c r="CP217" s="6"/>
      <c r="CQ217" s="6"/>
      <c r="CR217" s="6"/>
      <c r="CS217" s="6"/>
      <c r="CT217" s="6"/>
      <c r="CU217" s="6"/>
      <c r="CV217" s="6"/>
      <c r="CW217" s="6"/>
      <c r="CX217" s="6"/>
      <c r="CY217" s="6"/>
      <c r="CZ217" s="6"/>
      <c r="DA217" s="6"/>
      <c r="DB217" s="6"/>
      <c r="DC217" s="6"/>
    </row>
    <row r="218" spans="1:107" ht="14.25" customHeight="1" x14ac:dyDescent="0.2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6"/>
      <c r="BL218" s="6"/>
      <c r="BM218" s="6"/>
      <c r="BN218" s="6"/>
      <c r="BO218" s="6"/>
      <c r="BP218" s="6"/>
      <c r="BQ218" s="6"/>
      <c r="BR218" s="6"/>
      <c r="BS218" s="6"/>
      <c r="BT218" s="6"/>
      <c r="BU218" s="6"/>
      <c r="BV218" s="6"/>
      <c r="BW218" s="6"/>
      <c r="BX218" s="6"/>
      <c r="BY218" s="6"/>
      <c r="BZ218" s="6"/>
      <c r="CA218" s="6"/>
      <c r="CB218" s="6"/>
      <c r="CC218" s="6"/>
      <c r="CD218" s="6"/>
      <c r="CE218" s="6"/>
      <c r="CF218" s="6"/>
      <c r="CG218" s="6"/>
      <c r="CH218" s="6"/>
      <c r="CI218" s="6"/>
      <c r="CJ218" s="6"/>
      <c r="CK218" s="6"/>
      <c r="CL218" s="6"/>
      <c r="CM218" s="6"/>
      <c r="CN218" s="6"/>
      <c r="CO218" s="6"/>
      <c r="CP218" s="6"/>
      <c r="CQ218" s="6"/>
      <c r="CR218" s="6"/>
      <c r="CS218" s="6"/>
      <c r="CT218" s="6"/>
      <c r="CU218" s="6"/>
      <c r="CV218" s="6"/>
      <c r="CW218" s="6"/>
      <c r="CX218" s="6"/>
      <c r="CY218" s="6"/>
      <c r="CZ218" s="6"/>
      <c r="DA218" s="6"/>
      <c r="DB218" s="6"/>
      <c r="DC218" s="6"/>
    </row>
    <row r="219" spans="1:107" ht="14.25" customHeight="1" x14ac:dyDescent="0.2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K219" s="6"/>
      <c r="BL219" s="6"/>
      <c r="BM219" s="6"/>
      <c r="BN219" s="6"/>
      <c r="BO219" s="6"/>
      <c r="BP219" s="6"/>
      <c r="BQ219" s="6"/>
      <c r="BR219" s="6"/>
      <c r="BS219" s="6"/>
      <c r="BT219" s="6"/>
      <c r="BU219" s="6"/>
      <c r="BV219" s="6"/>
      <c r="BW219" s="6"/>
      <c r="BX219" s="6"/>
      <c r="BY219" s="6"/>
      <c r="BZ219" s="6"/>
      <c r="CA219" s="6"/>
      <c r="CB219" s="6"/>
      <c r="CC219" s="6"/>
      <c r="CD219" s="6"/>
      <c r="CE219" s="6"/>
      <c r="CF219" s="6"/>
      <c r="CG219" s="6"/>
      <c r="CH219" s="6"/>
      <c r="CI219" s="6"/>
      <c r="CJ219" s="6"/>
      <c r="CK219" s="6"/>
      <c r="CL219" s="6"/>
      <c r="CM219" s="6"/>
      <c r="CN219" s="6"/>
      <c r="CO219" s="6"/>
      <c r="CP219" s="6"/>
      <c r="CQ219" s="6"/>
      <c r="CR219" s="6"/>
      <c r="CS219" s="6"/>
      <c r="CT219" s="6"/>
      <c r="CU219" s="6"/>
      <c r="CV219" s="6"/>
      <c r="CW219" s="6"/>
      <c r="CX219" s="6"/>
      <c r="CY219" s="6"/>
      <c r="CZ219" s="6"/>
      <c r="DA219" s="6"/>
      <c r="DB219" s="6"/>
      <c r="DC219" s="6"/>
    </row>
    <row r="220" spans="1:107" ht="14.25" customHeight="1" x14ac:dyDescent="0.2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  <c r="BK220" s="6"/>
      <c r="BL220" s="6"/>
      <c r="BM220" s="6"/>
      <c r="BN220" s="6"/>
      <c r="BO220" s="6"/>
      <c r="BP220" s="6"/>
      <c r="BQ220" s="6"/>
      <c r="BR220" s="6"/>
      <c r="BS220" s="6"/>
      <c r="BT220" s="6"/>
      <c r="BU220" s="6"/>
      <c r="BV220" s="6"/>
      <c r="BW220" s="6"/>
      <c r="BX220" s="6"/>
      <c r="BY220" s="6"/>
      <c r="BZ220" s="6"/>
      <c r="CA220" s="6"/>
      <c r="CB220" s="6"/>
      <c r="CC220" s="6"/>
      <c r="CD220" s="6"/>
      <c r="CE220" s="6"/>
      <c r="CF220" s="6"/>
      <c r="CG220" s="6"/>
      <c r="CH220" s="6"/>
      <c r="CI220" s="6"/>
      <c r="CJ220" s="6"/>
      <c r="CK220" s="6"/>
      <c r="CL220" s="6"/>
      <c r="CM220" s="6"/>
      <c r="CN220" s="6"/>
      <c r="CO220" s="6"/>
      <c r="CP220" s="6"/>
      <c r="CQ220" s="6"/>
      <c r="CR220" s="6"/>
      <c r="CS220" s="6"/>
      <c r="CT220" s="6"/>
      <c r="CU220" s="6"/>
      <c r="CV220" s="6"/>
      <c r="CW220" s="6"/>
      <c r="CX220" s="6"/>
      <c r="CY220" s="6"/>
      <c r="CZ220" s="6"/>
      <c r="DA220" s="6"/>
      <c r="DB220" s="6"/>
      <c r="DC220" s="6"/>
    </row>
    <row r="221" spans="1:107" ht="14.25" customHeight="1" x14ac:dyDescent="0.2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  <c r="BJ221" s="6"/>
      <c r="BK221" s="6"/>
      <c r="BL221" s="6"/>
      <c r="BM221" s="6"/>
      <c r="BN221" s="6"/>
      <c r="BO221" s="6"/>
      <c r="BP221" s="6"/>
      <c r="BQ221" s="6"/>
      <c r="BR221" s="6"/>
      <c r="BS221" s="6"/>
      <c r="BT221" s="6"/>
      <c r="BU221" s="6"/>
      <c r="BV221" s="6"/>
      <c r="BW221" s="6"/>
      <c r="BX221" s="6"/>
      <c r="BY221" s="6"/>
      <c r="BZ221" s="6"/>
      <c r="CA221" s="6"/>
      <c r="CB221" s="6"/>
      <c r="CC221" s="6"/>
      <c r="CD221" s="6"/>
      <c r="CE221" s="6"/>
      <c r="CF221" s="6"/>
      <c r="CG221" s="6"/>
      <c r="CH221" s="6"/>
      <c r="CI221" s="6"/>
      <c r="CJ221" s="6"/>
      <c r="CK221" s="6"/>
      <c r="CL221" s="6"/>
      <c r="CM221" s="6"/>
      <c r="CN221" s="6"/>
      <c r="CO221" s="6"/>
      <c r="CP221" s="6"/>
      <c r="CQ221" s="6"/>
      <c r="CR221" s="6"/>
      <c r="CS221" s="6"/>
      <c r="CT221" s="6"/>
      <c r="CU221" s="6"/>
      <c r="CV221" s="6"/>
      <c r="CW221" s="6"/>
      <c r="CX221" s="6"/>
      <c r="CY221" s="6"/>
      <c r="CZ221" s="6"/>
      <c r="DA221" s="6"/>
      <c r="DB221" s="6"/>
      <c r="DC221" s="6"/>
    </row>
    <row r="222" spans="1:107" ht="14.25" customHeight="1" x14ac:dyDescent="0.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  <c r="BK222" s="6"/>
      <c r="BL222" s="6"/>
      <c r="BM222" s="6"/>
      <c r="BN222" s="6"/>
      <c r="BO222" s="6"/>
      <c r="BP222" s="6"/>
      <c r="BQ222" s="6"/>
      <c r="BR222" s="6"/>
      <c r="BS222" s="6"/>
      <c r="BT222" s="6"/>
      <c r="BU222" s="6"/>
      <c r="BV222" s="6"/>
      <c r="BW222" s="6"/>
      <c r="BX222" s="6"/>
      <c r="BY222" s="6"/>
      <c r="BZ222" s="6"/>
      <c r="CA222" s="6"/>
      <c r="CB222" s="6"/>
      <c r="CC222" s="6"/>
      <c r="CD222" s="6"/>
      <c r="CE222" s="6"/>
      <c r="CF222" s="6"/>
      <c r="CG222" s="6"/>
      <c r="CH222" s="6"/>
      <c r="CI222" s="6"/>
      <c r="CJ222" s="6"/>
      <c r="CK222" s="6"/>
      <c r="CL222" s="6"/>
      <c r="CM222" s="6"/>
      <c r="CN222" s="6"/>
      <c r="CO222" s="6"/>
      <c r="CP222" s="6"/>
      <c r="CQ222" s="6"/>
      <c r="CR222" s="6"/>
      <c r="CS222" s="6"/>
      <c r="CT222" s="6"/>
      <c r="CU222" s="6"/>
      <c r="CV222" s="6"/>
      <c r="CW222" s="6"/>
      <c r="CX222" s="6"/>
      <c r="CY222" s="6"/>
      <c r="CZ222" s="6"/>
      <c r="DA222" s="6"/>
      <c r="DB222" s="6"/>
      <c r="DC222" s="6"/>
    </row>
    <row r="223" spans="1:107" ht="14.25" customHeight="1" x14ac:dyDescent="0.2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  <c r="BJ223" s="6"/>
      <c r="BK223" s="6"/>
      <c r="BL223" s="6"/>
      <c r="BM223" s="6"/>
      <c r="BN223" s="6"/>
      <c r="BO223" s="6"/>
      <c r="BP223" s="6"/>
      <c r="BQ223" s="6"/>
      <c r="BR223" s="6"/>
      <c r="BS223" s="6"/>
      <c r="BT223" s="6"/>
      <c r="BU223" s="6"/>
      <c r="BV223" s="6"/>
      <c r="BW223" s="6"/>
      <c r="BX223" s="6"/>
      <c r="BY223" s="6"/>
      <c r="BZ223" s="6"/>
      <c r="CA223" s="6"/>
      <c r="CB223" s="6"/>
      <c r="CC223" s="6"/>
      <c r="CD223" s="6"/>
      <c r="CE223" s="6"/>
      <c r="CF223" s="6"/>
      <c r="CG223" s="6"/>
      <c r="CH223" s="6"/>
      <c r="CI223" s="6"/>
      <c r="CJ223" s="6"/>
      <c r="CK223" s="6"/>
      <c r="CL223" s="6"/>
      <c r="CM223" s="6"/>
      <c r="CN223" s="6"/>
      <c r="CO223" s="6"/>
      <c r="CP223" s="6"/>
      <c r="CQ223" s="6"/>
      <c r="CR223" s="6"/>
      <c r="CS223" s="6"/>
      <c r="CT223" s="6"/>
      <c r="CU223" s="6"/>
      <c r="CV223" s="6"/>
      <c r="CW223" s="6"/>
      <c r="CX223" s="6"/>
      <c r="CY223" s="6"/>
      <c r="CZ223" s="6"/>
      <c r="DA223" s="6"/>
      <c r="DB223" s="6"/>
      <c r="DC223" s="6"/>
    </row>
    <row r="224" spans="1:107" ht="14.25" customHeight="1" x14ac:dyDescent="0.2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  <c r="BJ224" s="6"/>
      <c r="BK224" s="6"/>
      <c r="BL224" s="6"/>
      <c r="BM224" s="6"/>
      <c r="BN224" s="6"/>
      <c r="BO224" s="6"/>
      <c r="BP224" s="6"/>
      <c r="BQ224" s="6"/>
      <c r="BR224" s="6"/>
      <c r="BS224" s="6"/>
      <c r="BT224" s="6"/>
      <c r="BU224" s="6"/>
      <c r="BV224" s="6"/>
      <c r="BW224" s="6"/>
      <c r="BX224" s="6"/>
      <c r="BY224" s="6"/>
      <c r="BZ224" s="6"/>
      <c r="CA224" s="6"/>
      <c r="CB224" s="6"/>
      <c r="CC224" s="6"/>
      <c r="CD224" s="6"/>
      <c r="CE224" s="6"/>
      <c r="CF224" s="6"/>
      <c r="CG224" s="6"/>
      <c r="CH224" s="6"/>
      <c r="CI224" s="6"/>
      <c r="CJ224" s="6"/>
      <c r="CK224" s="6"/>
      <c r="CL224" s="6"/>
      <c r="CM224" s="6"/>
      <c r="CN224" s="6"/>
      <c r="CO224" s="6"/>
      <c r="CP224" s="6"/>
      <c r="CQ224" s="6"/>
      <c r="CR224" s="6"/>
      <c r="CS224" s="6"/>
      <c r="CT224" s="6"/>
      <c r="CU224" s="6"/>
      <c r="CV224" s="6"/>
      <c r="CW224" s="6"/>
      <c r="CX224" s="6"/>
      <c r="CY224" s="6"/>
      <c r="CZ224" s="6"/>
      <c r="DA224" s="6"/>
      <c r="DB224" s="6"/>
      <c r="DC224" s="6"/>
    </row>
    <row r="225" spans="1:107" ht="14.25" customHeight="1" x14ac:dyDescent="0.2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  <c r="BJ225" s="6"/>
      <c r="BK225" s="6"/>
      <c r="BL225" s="6"/>
      <c r="BM225" s="6"/>
      <c r="BN225" s="6"/>
      <c r="BO225" s="6"/>
      <c r="BP225" s="6"/>
      <c r="BQ225" s="6"/>
      <c r="BR225" s="6"/>
      <c r="BS225" s="6"/>
      <c r="BT225" s="6"/>
      <c r="BU225" s="6"/>
      <c r="BV225" s="6"/>
      <c r="BW225" s="6"/>
      <c r="BX225" s="6"/>
      <c r="BY225" s="6"/>
      <c r="BZ225" s="6"/>
      <c r="CA225" s="6"/>
      <c r="CB225" s="6"/>
      <c r="CC225" s="6"/>
      <c r="CD225" s="6"/>
      <c r="CE225" s="6"/>
      <c r="CF225" s="6"/>
      <c r="CG225" s="6"/>
      <c r="CH225" s="6"/>
      <c r="CI225" s="6"/>
      <c r="CJ225" s="6"/>
      <c r="CK225" s="6"/>
      <c r="CL225" s="6"/>
      <c r="CM225" s="6"/>
      <c r="CN225" s="6"/>
      <c r="CO225" s="6"/>
      <c r="CP225" s="6"/>
      <c r="CQ225" s="6"/>
      <c r="CR225" s="6"/>
      <c r="CS225" s="6"/>
      <c r="CT225" s="6"/>
      <c r="CU225" s="6"/>
      <c r="CV225" s="6"/>
      <c r="CW225" s="6"/>
      <c r="CX225" s="6"/>
      <c r="CY225" s="6"/>
      <c r="CZ225" s="6"/>
      <c r="DA225" s="6"/>
      <c r="DB225" s="6"/>
      <c r="DC225" s="6"/>
    </row>
    <row r="226" spans="1:107" ht="14.25" customHeight="1" x14ac:dyDescent="0.2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  <c r="BJ226" s="6"/>
      <c r="BK226" s="6"/>
      <c r="BL226" s="6"/>
      <c r="BM226" s="6"/>
      <c r="BN226" s="6"/>
      <c r="BO226" s="6"/>
      <c r="BP226" s="6"/>
      <c r="BQ226" s="6"/>
      <c r="BR226" s="6"/>
      <c r="BS226" s="6"/>
      <c r="BT226" s="6"/>
      <c r="BU226" s="6"/>
      <c r="BV226" s="6"/>
      <c r="BW226" s="6"/>
      <c r="BX226" s="6"/>
      <c r="BY226" s="6"/>
      <c r="BZ226" s="6"/>
      <c r="CA226" s="6"/>
      <c r="CB226" s="6"/>
      <c r="CC226" s="6"/>
      <c r="CD226" s="6"/>
      <c r="CE226" s="6"/>
      <c r="CF226" s="6"/>
      <c r="CG226" s="6"/>
      <c r="CH226" s="6"/>
      <c r="CI226" s="6"/>
      <c r="CJ226" s="6"/>
      <c r="CK226" s="6"/>
      <c r="CL226" s="6"/>
      <c r="CM226" s="6"/>
      <c r="CN226" s="6"/>
      <c r="CO226" s="6"/>
      <c r="CP226" s="6"/>
      <c r="CQ226" s="6"/>
      <c r="CR226" s="6"/>
      <c r="CS226" s="6"/>
      <c r="CT226" s="6"/>
      <c r="CU226" s="6"/>
      <c r="CV226" s="6"/>
      <c r="CW226" s="6"/>
      <c r="CX226" s="6"/>
      <c r="CY226" s="6"/>
      <c r="CZ226" s="6"/>
      <c r="DA226" s="6"/>
      <c r="DB226" s="6"/>
      <c r="DC226" s="6"/>
    </row>
    <row r="227" spans="1:107" ht="14.25" customHeight="1" x14ac:dyDescent="0.2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  <c r="BJ227" s="6"/>
      <c r="BK227" s="6"/>
      <c r="BL227" s="6"/>
      <c r="BM227" s="6"/>
      <c r="BN227" s="6"/>
      <c r="BO227" s="6"/>
      <c r="BP227" s="6"/>
      <c r="BQ227" s="6"/>
      <c r="BR227" s="6"/>
      <c r="BS227" s="6"/>
      <c r="BT227" s="6"/>
      <c r="BU227" s="6"/>
      <c r="BV227" s="6"/>
      <c r="BW227" s="6"/>
      <c r="BX227" s="6"/>
      <c r="BY227" s="6"/>
      <c r="BZ227" s="6"/>
      <c r="CA227" s="6"/>
      <c r="CB227" s="6"/>
      <c r="CC227" s="6"/>
      <c r="CD227" s="6"/>
      <c r="CE227" s="6"/>
      <c r="CF227" s="6"/>
      <c r="CG227" s="6"/>
      <c r="CH227" s="6"/>
      <c r="CI227" s="6"/>
      <c r="CJ227" s="6"/>
      <c r="CK227" s="6"/>
      <c r="CL227" s="6"/>
      <c r="CM227" s="6"/>
      <c r="CN227" s="6"/>
      <c r="CO227" s="6"/>
      <c r="CP227" s="6"/>
      <c r="CQ227" s="6"/>
      <c r="CR227" s="6"/>
      <c r="CS227" s="6"/>
      <c r="CT227" s="6"/>
      <c r="CU227" s="6"/>
      <c r="CV227" s="6"/>
      <c r="CW227" s="6"/>
      <c r="CX227" s="6"/>
      <c r="CY227" s="6"/>
      <c r="CZ227" s="6"/>
      <c r="DA227" s="6"/>
      <c r="DB227" s="6"/>
      <c r="DC227" s="6"/>
    </row>
    <row r="228" spans="1:107" ht="14.25" customHeight="1" x14ac:dyDescent="0.2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  <c r="BJ228" s="6"/>
      <c r="BK228" s="6"/>
      <c r="BL228" s="6"/>
      <c r="BM228" s="6"/>
      <c r="BN228" s="6"/>
      <c r="BO228" s="6"/>
      <c r="BP228" s="6"/>
      <c r="BQ228" s="6"/>
      <c r="BR228" s="6"/>
      <c r="BS228" s="6"/>
      <c r="BT228" s="6"/>
      <c r="BU228" s="6"/>
      <c r="BV228" s="6"/>
      <c r="BW228" s="6"/>
      <c r="BX228" s="6"/>
      <c r="BY228" s="6"/>
      <c r="BZ228" s="6"/>
      <c r="CA228" s="6"/>
      <c r="CB228" s="6"/>
      <c r="CC228" s="6"/>
      <c r="CD228" s="6"/>
      <c r="CE228" s="6"/>
      <c r="CF228" s="6"/>
      <c r="CG228" s="6"/>
      <c r="CH228" s="6"/>
      <c r="CI228" s="6"/>
      <c r="CJ228" s="6"/>
      <c r="CK228" s="6"/>
      <c r="CL228" s="6"/>
      <c r="CM228" s="6"/>
      <c r="CN228" s="6"/>
      <c r="CO228" s="6"/>
      <c r="CP228" s="6"/>
      <c r="CQ228" s="6"/>
      <c r="CR228" s="6"/>
      <c r="CS228" s="6"/>
      <c r="CT228" s="6"/>
      <c r="CU228" s="6"/>
      <c r="CV228" s="6"/>
      <c r="CW228" s="6"/>
      <c r="CX228" s="6"/>
      <c r="CY228" s="6"/>
      <c r="CZ228" s="6"/>
      <c r="DA228" s="6"/>
      <c r="DB228" s="6"/>
      <c r="DC228" s="6"/>
    </row>
    <row r="229" spans="1:107" ht="14.25" customHeight="1" x14ac:dyDescent="0.2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  <c r="BJ229" s="6"/>
      <c r="BK229" s="6"/>
      <c r="BL229" s="6"/>
      <c r="BM229" s="6"/>
      <c r="BN229" s="6"/>
      <c r="BO229" s="6"/>
      <c r="BP229" s="6"/>
      <c r="BQ229" s="6"/>
      <c r="BR229" s="6"/>
      <c r="BS229" s="6"/>
      <c r="BT229" s="6"/>
      <c r="BU229" s="6"/>
      <c r="BV229" s="6"/>
      <c r="BW229" s="6"/>
      <c r="BX229" s="6"/>
      <c r="BY229" s="6"/>
      <c r="BZ229" s="6"/>
      <c r="CA229" s="6"/>
      <c r="CB229" s="6"/>
      <c r="CC229" s="6"/>
      <c r="CD229" s="6"/>
      <c r="CE229" s="6"/>
      <c r="CF229" s="6"/>
      <c r="CG229" s="6"/>
      <c r="CH229" s="6"/>
      <c r="CI229" s="6"/>
      <c r="CJ229" s="6"/>
      <c r="CK229" s="6"/>
      <c r="CL229" s="6"/>
      <c r="CM229" s="6"/>
      <c r="CN229" s="6"/>
      <c r="CO229" s="6"/>
      <c r="CP229" s="6"/>
      <c r="CQ229" s="6"/>
      <c r="CR229" s="6"/>
      <c r="CS229" s="6"/>
      <c r="CT229" s="6"/>
      <c r="CU229" s="6"/>
      <c r="CV229" s="6"/>
      <c r="CW229" s="6"/>
      <c r="CX229" s="6"/>
      <c r="CY229" s="6"/>
      <c r="CZ229" s="6"/>
      <c r="DA229" s="6"/>
      <c r="DB229" s="6"/>
      <c r="DC229" s="6"/>
    </row>
    <row r="230" spans="1:107" ht="14.25" customHeight="1" x14ac:dyDescent="0.2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  <c r="BJ230" s="6"/>
      <c r="BK230" s="6"/>
      <c r="BL230" s="6"/>
      <c r="BM230" s="6"/>
      <c r="BN230" s="6"/>
      <c r="BO230" s="6"/>
      <c r="BP230" s="6"/>
      <c r="BQ230" s="6"/>
      <c r="BR230" s="6"/>
      <c r="BS230" s="6"/>
      <c r="BT230" s="6"/>
      <c r="BU230" s="6"/>
      <c r="BV230" s="6"/>
      <c r="BW230" s="6"/>
      <c r="BX230" s="6"/>
      <c r="BY230" s="6"/>
      <c r="BZ230" s="6"/>
      <c r="CA230" s="6"/>
      <c r="CB230" s="6"/>
      <c r="CC230" s="6"/>
      <c r="CD230" s="6"/>
      <c r="CE230" s="6"/>
      <c r="CF230" s="6"/>
      <c r="CG230" s="6"/>
      <c r="CH230" s="6"/>
      <c r="CI230" s="6"/>
      <c r="CJ230" s="6"/>
      <c r="CK230" s="6"/>
      <c r="CL230" s="6"/>
      <c r="CM230" s="6"/>
      <c r="CN230" s="6"/>
      <c r="CO230" s="6"/>
      <c r="CP230" s="6"/>
      <c r="CQ230" s="6"/>
      <c r="CR230" s="6"/>
      <c r="CS230" s="6"/>
      <c r="CT230" s="6"/>
      <c r="CU230" s="6"/>
      <c r="CV230" s="6"/>
      <c r="CW230" s="6"/>
      <c r="CX230" s="6"/>
      <c r="CY230" s="6"/>
      <c r="CZ230" s="6"/>
      <c r="DA230" s="6"/>
      <c r="DB230" s="6"/>
      <c r="DC230" s="6"/>
    </row>
    <row r="231" spans="1:107" ht="14.25" customHeight="1" x14ac:dyDescent="0.2"/>
    <row r="232" spans="1:107" ht="14.25" customHeight="1" x14ac:dyDescent="0.2"/>
    <row r="233" spans="1:107" ht="14.25" customHeight="1" x14ac:dyDescent="0.2"/>
    <row r="234" spans="1:107" ht="14.25" customHeight="1" x14ac:dyDescent="0.2"/>
    <row r="235" spans="1:107" ht="14.25" customHeight="1" x14ac:dyDescent="0.2"/>
    <row r="236" spans="1:107" ht="14.25" customHeight="1" x14ac:dyDescent="0.2"/>
    <row r="237" spans="1:107" ht="14.25" customHeight="1" x14ac:dyDescent="0.2"/>
    <row r="238" spans="1:107" ht="14.25" customHeight="1" x14ac:dyDescent="0.2"/>
    <row r="239" spans="1:107" ht="14.25" customHeight="1" x14ac:dyDescent="0.2"/>
    <row r="240" spans="1:107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88">
    <mergeCell ref="A7:B7"/>
    <mergeCell ref="C7:D7"/>
    <mergeCell ref="E7:F7"/>
    <mergeCell ref="G7:H7"/>
    <mergeCell ref="I7:J7"/>
    <mergeCell ref="K7:L7"/>
    <mergeCell ref="M7:N7"/>
    <mergeCell ref="CA26:CD26"/>
    <mergeCell ref="CE26:CH26"/>
    <mergeCell ref="BI7:BJ7"/>
    <mergeCell ref="BK7:BL7"/>
    <mergeCell ref="BM7:BN7"/>
    <mergeCell ref="BO7:BP7"/>
    <mergeCell ref="BQ7:BR7"/>
    <mergeCell ref="BS7:BT7"/>
    <mergeCell ref="BU7:BV7"/>
    <mergeCell ref="BW7:BX7"/>
    <mergeCell ref="BY7:BZ7"/>
    <mergeCell ref="CA7:CB7"/>
    <mergeCell ref="CC7:CD7"/>
    <mergeCell ref="CE7:CF7"/>
    <mergeCell ref="CI26:CL26"/>
    <mergeCell ref="O7:P7"/>
    <mergeCell ref="Q7:R7"/>
    <mergeCell ref="S7:T7"/>
    <mergeCell ref="U7:V7"/>
    <mergeCell ref="W7:X7"/>
    <mergeCell ref="Y7:Z7"/>
    <mergeCell ref="AA7:AB7"/>
    <mergeCell ref="AC7:AD7"/>
    <mergeCell ref="AE7:AF7"/>
    <mergeCell ref="AG7:AH7"/>
    <mergeCell ref="AI7:AJ7"/>
    <mergeCell ref="AK7:AL7"/>
    <mergeCell ref="AM7:AN7"/>
    <mergeCell ref="AO7:AP7"/>
    <mergeCell ref="AQ7:AR7"/>
    <mergeCell ref="AS7:AT7"/>
    <mergeCell ref="AU7:AV7"/>
    <mergeCell ref="AW7:AX7"/>
    <mergeCell ref="AY7:AZ7"/>
    <mergeCell ref="BA7:BB7"/>
    <mergeCell ref="BC7:BD7"/>
    <mergeCell ref="BE7:BF7"/>
    <mergeCell ref="BG7:BH7"/>
    <mergeCell ref="CU7:CV7"/>
    <mergeCell ref="CW7:CX7"/>
    <mergeCell ref="CY7:CZ7"/>
    <mergeCell ref="DA7:DB7"/>
    <mergeCell ref="CG7:CH7"/>
    <mergeCell ref="CI7:CJ7"/>
    <mergeCell ref="CK7:CL7"/>
    <mergeCell ref="CM7:CN7"/>
    <mergeCell ref="CO7:CP7"/>
    <mergeCell ref="CQ7:CR7"/>
    <mergeCell ref="CS7:CT7"/>
    <mergeCell ref="CU26:CX26"/>
    <mergeCell ref="CY26:DB26"/>
    <mergeCell ref="A26:B26"/>
    <mergeCell ref="C26:F26"/>
    <mergeCell ref="G26:J26"/>
    <mergeCell ref="K26:N26"/>
    <mergeCell ref="O26:R26"/>
    <mergeCell ref="S26:V26"/>
    <mergeCell ref="W26:Z26"/>
    <mergeCell ref="BC26:BF26"/>
    <mergeCell ref="BG26:BJ26"/>
    <mergeCell ref="AA26:AD26"/>
    <mergeCell ref="AE26:AH26"/>
    <mergeCell ref="AI26:AL26"/>
    <mergeCell ref="AM26:AP26"/>
    <mergeCell ref="AQ26:AT26"/>
    <mergeCell ref="AU26:AX26"/>
    <mergeCell ref="AY26:BB26"/>
    <mergeCell ref="CM26:CP26"/>
    <mergeCell ref="CQ26:CT26"/>
    <mergeCell ref="BK26:BN26"/>
    <mergeCell ref="BO26:BR26"/>
    <mergeCell ref="BS26:BV26"/>
    <mergeCell ref="BW26:BZ26"/>
    <mergeCell ref="CM28:CP28"/>
    <mergeCell ref="CQ28:CT28"/>
    <mergeCell ref="BK28:BN28"/>
    <mergeCell ref="BO28:BR28"/>
    <mergeCell ref="BS28:BV28"/>
    <mergeCell ref="BW28:BZ28"/>
    <mergeCell ref="CA28:CD28"/>
    <mergeCell ref="CE28:CH28"/>
    <mergeCell ref="CI28:CL28"/>
    <mergeCell ref="AA27:AD27"/>
    <mergeCell ref="AE27:AH27"/>
    <mergeCell ref="AI27:AL27"/>
    <mergeCell ref="AM27:AP27"/>
    <mergeCell ref="AQ27:AT27"/>
    <mergeCell ref="AU27:AX27"/>
    <mergeCell ref="AY27:BB27"/>
    <mergeCell ref="CE27:CH27"/>
    <mergeCell ref="CI27:CL27"/>
    <mergeCell ref="BS27:BV27"/>
    <mergeCell ref="BW27:BZ27"/>
    <mergeCell ref="CA27:CD27"/>
    <mergeCell ref="CM27:CP27"/>
    <mergeCell ref="CQ27:CT27"/>
    <mergeCell ref="CU27:CX27"/>
    <mergeCell ref="CY27:DB27"/>
    <mergeCell ref="CU28:CX28"/>
    <mergeCell ref="CY28:DB28"/>
    <mergeCell ref="A27:B27"/>
    <mergeCell ref="C27:F27"/>
    <mergeCell ref="G27:J27"/>
    <mergeCell ref="K27:N27"/>
    <mergeCell ref="O27:R27"/>
    <mergeCell ref="S27:V27"/>
    <mergeCell ref="W27:Z27"/>
    <mergeCell ref="A28:B28"/>
    <mergeCell ref="C28:F28"/>
    <mergeCell ref="G28:J28"/>
    <mergeCell ref="K28:N28"/>
    <mergeCell ref="O28:R28"/>
    <mergeCell ref="S28:V28"/>
    <mergeCell ref="W28:Z28"/>
    <mergeCell ref="BC27:BF27"/>
    <mergeCell ref="BG27:BJ27"/>
    <mergeCell ref="BK27:BN27"/>
    <mergeCell ref="BO27:BR27"/>
    <mergeCell ref="BC30:BF30"/>
    <mergeCell ref="BG30:BJ30"/>
    <mergeCell ref="AA30:AD30"/>
    <mergeCell ref="AE30:AH30"/>
    <mergeCell ref="AI30:AL30"/>
    <mergeCell ref="AM30:AP30"/>
    <mergeCell ref="AQ30:AT30"/>
    <mergeCell ref="AU30:AX30"/>
    <mergeCell ref="AY30:BB30"/>
    <mergeCell ref="CM30:CP30"/>
    <mergeCell ref="CQ30:CT30"/>
    <mergeCell ref="BK30:BN30"/>
    <mergeCell ref="BO30:BR30"/>
    <mergeCell ref="BS30:BV30"/>
    <mergeCell ref="BW30:BZ30"/>
    <mergeCell ref="CA30:CD30"/>
    <mergeCell ref="CE30:CH30"/>
    <mergeCell ref="CI30:CL30"/>
    <mergeCell ref="BC28:BF28"/>
    <mergeCell ref="BG28:BJ28"/>
    <mergeCell ref="AA28:AD28"/>
    <mergeCell ref="AE28:AH28"/>
    <mergeCell ref="AI28:AL28"/>
    <mergeCell ref="AM28:AP28"/>
    <mergeCell ref="AQ28:AT28"/>
    <mergeCell ref="AU28:AX28"/>
    <mergeCell ref="AY28:BB28"/>
    <mergeCell ref="AA29:AD29"/>
    <mergeCell ref="AE29:AH29"/>
    <mergeCell ref="AI29:AL29"/>
    <mergeCell ref="AM29:AP29"/>
    <mergeCell ref="AQ29:AT29"/>
    <mergeCell ref="AU29:AX29"/>
    <mergeCell ref="AY29:BB29"/>
    <mergeCell ref="CE29:CH29"/>
    <mergeCell ref="CI29:CL29"/>
    <mergeCell ref="BS29:BV29"/>
    <mergeCell ref="BW29:BZ29"/>
    <mergeCell ref="CA29:CD29"/>
    <mergeCell ref="CM29:CP29"/>
    <mergeCell ref="CQ29:CT29"/>
    <mergeCell ref="CU29:CX29"/>
    <mergeCell ref="CY29:DB29"/>
    <mergeCell ref="CU30:CX30"/>
    <mergeCell ref="CY30:DB30"/>
    <mergeCell ref="A29:B29"/>
    <mergeCell ref="C29:F29"/>
    <mergeCell ref="G29:J29"/>
    <mergeCell ref="K29:N29"/>
    <mergeCell ref="O29:R29"/>
    <mergeCell ref="S29:V29"/>
    <mergeCell ref="W29:Z29"/>
    <mergeCell ref="A30:B30"/>
    <mergeCell ref="C30:F30"/>
    <mergeCell ref="G30:J30"/>
    <mergeCell ref="K30:N30"/>
    <mergeCell ref="O30:R30"/>
    <mergeCell ref="S30:V30"/>
    <mergeCell ref="W30:Z30"/>
    <mergeCell ref="BC29:BF29"/>
    <mergeCell ref="BG29:BJ29"/>
    <mergeCell ref="BK29:BN29"/>
    <mergeCell ref="BO29:BR29"/>
  </mergeCells>
  <pageMargins left="0.7" right="0.7" top="1.9312499999999999" bottom="1.9312499999999999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SUMMARY_-_GCM</vt:lpstr>
      <vt:lpstr>BUUG</vt:lpstr>
      <vt:lpstr>PAGADIAN</vt:lpstr>
      <vt:lpstr>TANGUB</vt:lpstr>
      <vt:lpstr>OROQUIETA</vt:lpstr>
      <vt:lpstr>IPIL</vt:lpstr>
      <vt:lpstr>ZAMBOANGA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Adrian Suson</cp:lastModifiedBy>
  <dcterms:created xsi:type="dcterms:W3CDTF">2026-06-29T02:20:44Z</dcterms:created>
  <dcterms:modified xsi:type="dcterms:W3CDTF">2026-10-13T01:45:17Z</dcterms:modified>
</cp:coreProperties>
</file>